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Test cases" sheetId="2" state="visible" r:id="rId4"/>
  </sheets>
  <definedNames>
    <definedName function="false" hidden="true" localSheetId="1" name="_xlnm._FilterDatabase" vbProcedure="false">'Test cases'!$A$1:$N$51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<sst xmlns="http://schemas.openxmlformats.org/spreadsheetml/2006/main" count="620" uniqueCount="324">
  <si>
    <t xml:space="preserve">Bộ test case – Saucedemo (Đăng nhập, Giỏ hàng, Thanh toán)</t>
  </si>
  <si>
    <t xml:space="preserve">Website: https://www.saucedemo.com · Mật khẩu chung: secret_sauce</t>
  </si>
  <si>
    <t xml:space="preserve">Theo chức năng</t>
  </si>
  <si>
    <t xml:space="preserve">Chức năng</t>
  </si>
  <si>
    <t xml:space="preserve">Positive</t>
  </si>
  <si>
    <t xml:space="preserve">Negative</t>
  </si>
  <si>
    <t xml:space="preserve">Tổng</t>
  </si>
  <si>
    <t xml:space="preserve">Pass</t>
  </si>
  <si>
    <t xml:space="preserve">Fail</t>
  </si>
  <si>
    <t xml:space="preserve">Đăng nhập</t>
  </si>
  <si>
    <t xml:space="preserve">Danh sách sản phẩm</t>
  </si>
  <si>
    <t xml:space="preserve">Giỏ hàng</t>
  </si>
  <si>
    <t xml:space="preserve">Thanh toán</t>
  </si>
  <si>
    <t xml:space="preserve">Theo trạng thái automation</t>
  </si>
  <si>
    <t xml:space="preserve">Đã có</t>
  </si>
  <si>
    <t xml:space="preserve">Cần viết</t>
  </si>
  <si>
    <t xml:space="preserve">Test tay</t>
  </si>
  <si>
    <t xml:space="preserve">Theo kết quả chạy</t>
  </si>
  <si>
    <t xml:space="preserve">Not run</t>
  </si>
  <si>
    <t xml:space="preserve">Blocked</t>
  </si>
  <si>
    <t xml:space="preserve">Hướng dẫn</t>
  </si>
  <si>
    <t xml:space="preserve">• Ô nền vàng (cột Kết quả thực tế, Trạng thái) là chỗ bạn điền khi chạy test. Trạng thái chọn từ danh sách: Not run / Pass / Fail / Blocked.</t>
  </si>
  <si>
    <t xml:space="preserve">• Ví dụ điền: Kết quả thực tế = "Hiển thị đúng lỗi Username is required", Trạng thái = Pass.</t>
  </si>
  <si>
    <t xml:space="preserve">• Automation: "Đã có" = đã có code trong project (cột cuối ghi tên hàm test tương ứng); "Cần viết" = nên viết thêm code; "Test tay" = chạy tay trước để xác nhận hành vi.</t>
  </si>
  <si>
    <t xml:space="preserve">• Case ghi chú "dự kiến FAIL" dùng các user Saucedemo cố ý cài lỗi (problem_user, error_user) hoặc trang thiếu kiểm tra. Đây là các case để luyện log bug.</t>
  </si>
  <si>
    <t xml:space="preserve">• Các tài khoản: standard_user, locked_out_user, problem_user, performance_glitch_user, error_user, visual_user.</t>
  </si>
  <si>
    <t xml:space="preserve">ID</t>
  </si>
  <si>
    <t xml:space="preserve">Loại case</t>
  </si>
  <si>
    <t xml:space="preserve">Tiêu đề</t>
  </si>
  <si>
    <t xml:space="preserve">Điều kiện trước</t>
  </si>
  <si>
    <t xml:space="preserve">Các bước</t>
  </si>
  <si>
    <t xml:space="preserve">Dữ liệu test</t>
  </si>
  <si>
    <t xml:space="preserve">Kết quả mong đợi</t>
  </si>
  <si>
    <t xml:space="preserve">Độ ưu tiên</t>
  </si>
  <si>
    <t xml:space="preserve">Automation</t>
  </si>
  <si>
    <t xml:space="preserve">Kết quả thực tế</t>
  </si>
  <si>
    <t xml:space="preserve">Trạng thái</t>
  </si>
  <si>
    <t xml:space="preserve">Ghi chú</t>
  </si>
  <si>
    <t xml:space="preserve">Hàm test tự động</t>
  </si>
  <si>
    <t xml:space="preserve">TC_LG_01</t>
  </si>
  <si>
    <t xml:space="preserve">Đăng nhập thành công với tài khoản hợp lệ</t>
  </si>
  <si>
    <t xml:space="preserve">Mở trang https://www.saucedemo.com</t>
  </si>
  <si>
    <t xml:space="preserve">1. Nhập Username
2. Nhập Password
3. Bấm Login</t>
  </si>
  <si>
    <t xml:space="preserve">standard_user / secret_sauce</t>
  </si>
  <si>
    <t xml:space="preserve">Chuyển sang trang /inventory.html, tiêu đề "Products", hiển thị 6 sản phẩm</t>
  </si>
  <si>
    <t xml:space="preserve">High</t>
  </si>
  <si>
    <t xml:space="preserve">test_login_success</t>
  </si>
  <si>
    <t xml:space="preserve">TC_LG_02</t>
  </si>
  <si>
    <t xml:space="preserve">Đăng nhập bằng phím Enter</t>
  </si>
  <si>
    <t xml:space="preserve">1. Nhập Username, Password
2. Nhấn Enter tại ô Password</t>
  </si>
  <si>
    <t xml:space="preserve">Đăng nhập thành công, chuyển sang trang Products</t>
  </si>
  <si>
    <t xml:space="preserve">Medium</t>
  </si>
  <si>
    <t xml:space="preserve">test_login_with_enter_key</t>
  </si>
  <si>
    <t xml:space="preserve">TC_LG_03</t>
  </si>
  <si>
    <t xml:space="preserve">Mật khẩu hiển thị dạng ẩn</t>
  </si>
  <si>
    <t xml:space="preserve">1. Nhập Password</t>
  </si>
  <si>
    <t xml:space="preserve">secret_sauce</t>
  </si>
  <si>
    <t xml:space="preserve">Ký tự mật khẩu hiển thị dạng ẩn (•••), ô có type=password</t>
  </si>
  <si>
    <t xml:space="preserve">test_password_is_masked</t>
  </si>
  <si>
    <t xml:space="preserve">TC_LG_04</t>
  </si>
  <si>
    <t xml:space="preserve">Bỏ trống cả Username và Password</t>
  </si>
  <si>
    <t xml:space="preserve">1. Để trống 2 ô
2. Bấm Login</t>
  </si>
  <si>
    <t xml:space="preserve">(trống)</t>
  </si>
  <si>
    <t xml:space="preserve">Hiển thị lỗi "Epic sadface: Username is required", vẫn ở trang đăng nhập</t>
  </si>
  <si>
    <t xml:space="preserve">test_login_negative[both_empty]</t>
  </si>
  <si>
    <t xml:space="preserve">TC_LG_05</t>
  </si>
  <si>
    <t xml:space="preserve">Bỏ trống Username</t>
  </si>
  <si>
    <t xml:space="preserve">1. Để trống Username
2. Nhập Password
3. Bấm Login</t>
  </si>
  <si>
    <t xml:space="preserve">Password: secret_sauce</t>
  </si>
  <si>
    <t xml:space="preserve">Hiển thị lỗi "Epic sadface: Username is required"</t>
  </si>
  <si>
    <t xml:space="preserve">test_login_negative[empty_username]</t>
  </si>
  <si>
    <t xml:space="preserve">TC_LG_06</t>
  </si>
  <si>
    <t xml:space="preserve">Bỏ trống Password</t>
  </si>
  <si>
    <t xml:space="preserve">1. Nhập Username
2. Để trống Password
3. Bấm Login</t>
  </si>
  <si>
    <t xml:space="preserve">Username: standard_user</t>
  </si>
  <si>
    <t xml:space="preserve">Hiển thị lỗi "Epic sadface: Password is required"</t>
  </si>
  <si>
    <t xml:space="preserve">test_login_negative[empty_password]</t>
  </si>
  <si>
    <t xml:space="preserve">TC_LG_07</t>
  </si>
  <si>
    <t xml:space="preserve">Sai mật khẩu</t>
  </si>
  <si>
    <t xml:space="preserve">1. Nhập Username đúng
2. Nhập Password sai
3. Bấm Login</t>
  </si>
  <si>
    <t xml:space="preserve">standard_user / wrong_password</t>
  </si>
  <si>
    <t xml:space="preserve">Hiển thị lỗi "Epic sadface: Username and password do not match any user in this service"</t>
  </si>
  <si>
    <t xml:space="preserve">test_login_negative[wrong_password]</t>
  </si>
  <si>
    <t xml:space="preserve">TC_LG_08</t>
  </si>
  <si>
    <t xml:space="preserve">Username không tồn tại</t>
  </si>
  <si>
    <t xml:space="preserve">1. Nhập Username không tồn tại
2. Nhập Password
3. Bấm Login</t>
  </si>
  <si>
    <t xml:space="preserve">abc_user / secret_sauce</t>
  </si>
  <si>
    <t xml:space="preserve">Hiển thị lỗi "...Username and password do not match any user in this service"</t>
  </si>
  <si>
    <t xml:space="preserve">test_login_negative[user_not_exist]</t>
  </si>
  <si>
    <t xml:space="preserve">TC_LG_09</t>
  </si>
  <si>
    <t xml:space="preserve">Tài khoản bị khóa</t>
  </si>
  <si>
    <t xml:space="preserve">1. Nhập user bị khóa
2. Bấm Login</t>
  </si>
  <si>
    <t xml:space="preserve">locked_out_user / secret_sauce</t>
  </si>
  <si>
    <t xml:space="preserve">Hiển thị lỗi "Epic sadface: Sorry, this user has been locked out."</t>
  </si>
  <si>
    <t xml:space="preserve">test_login_negative[locked_user]</t>
  </si>
  <si>
    <t xml:space="preserve">TC_LG_10</t>
  </si>
  <si>
    <t xml:space="preserve">Username sai chữ hoa/thường</t>
  </si>
  <si>
    <t xml:space="preserve">1. Nhập Username viết hoa
2. Nhập Password
3. Bấm Login</t>
  </si>
  <si>
    <t xml:space="preserve">Standard_User / secret_sauce</t>
  </si>
  <si>
    <t xml:space="preserve">Không đăng nhập được, hiển thị lỗi "...do not match..."</t>
  </si>
  <si>
    <t xml:space="preserve">Low</t>
  </si>
  <si>
    <t xml:space="preserve">test_login_negative[wrong_case_username]</t>
  </si>
  <si>
    <t xml:space="preserve">TC_LG_11</t>
  </si>
  <si>
    <t xml:space="preserve">Username có dấu cách ở đầu</t>
  </si>
  <si>
    <t xml:space="preserve">1. Nhập Username có dấu cách đầu
2. Nhập Password
3. Bấm Login</t>
  </si>
  <si>
    <t xml:space="preserve">" standard_user" / secret_sauce</t>
  </si>
  <si>
    <t xml:space="preserve">Cần chạy tay để xác nhận hành vi thực tế</t>
  </si>
  <si>
    <t xml:space="preserve">TC_LG_12</t>
  </si>
  <si>
    <t xml:space="preserve">Truy cập thẳng trang sản phẩm khi chưa đăng nhập</t>
  </si>
  <si>
    <t xml:space="preserve">Chưa đăng nhập</t>
  </si>
  <si>
    <t xml:space="preserve">1. Nhập URL https://www.saucedemo.com/inventory.html</t>
  </si>
  <si>
    <t xml:space="preserve">Ở lại trang đăng nhập, lỗi "Epic sadface: You can only access '/inventory.html' when you are logged in."</t>
  </si>
  <si>
    <t xml:space="preserve">test_open_inventory_without_login</t>
  </si>
  <si>
    <t xml:space="preserve">TC_LG_13</t>
  </si>
  <si>
    <t xml:space="preserve">Đóng thông báo lỗi bằng nút X</t>
  </si>
  <si>
    <t xml:space="preserve">Đang hiển thị một thông báo lỗi đăng nhập</t>
  </si>
  <si>
    <t xml:space="preserve">1. Bấm nút X trên thông báo lỗi</t>
  </si>
  <si>
    <t xml:space="preserve">Thông báo lỗi biến mất</t>
  </si>
  <si>
    <t xml:space="preserve">test_close_error_message</t>
  </si>
  <si>
    <t xml:space="preserve">TC_LG_14</t>
  </si>
  <si>
    <t xml:space="preserve">Đăng xuất</t>
  </si>
  <si>
    <t xml:space="preserve">Đã đăng nhập bằng standard_user</t>
  </si>
  <si>
    <t xml:space="preserve">1. Bấm Menu (☰)
2. Bấm Logout</t>
  </si>
  <si>
    <t xml:space="preserve">Quay về trang đăng nhập, ô Username và Password trống</t>
  </si>
  <si>
    <t xml:space="preserve">test_logout</t>
  </si>
  <si>
    <t xml:space="preserve">TC_LG_15</t>
  </si>
  <si>
    <t xml:space="preserve">Bấm Back trình duyệt sau khi đăng xuất</t>
  </si>
  <si>
    <t xml:space="preserve">Vừa đăng xuất</t>
  </si>
  <si>
    <t xml:space="preserve">1. Bấm nút Back của trình duyệt</t>
  </si>
  <si>
    <t xml:space="preserve">Không vào được trang sản phẩm khi chưa đăng nhập lại</t>
  </si>
  <si>
    <t xml:space="preserve">TC_PL_01</t>
  </si>
  <si>
    <t xml:space="preserve">Sắp xếp mặc định Name (A to Z)</t>
  </si>
  <si>
    <t xml:space="preserve">1. Quan sát danh sách sản phẩm</t>
  </si>
  <si>
    <t xml:space="preserve">Sản phẩm sắp xếp theo tên A → Z</t>
  </si>
  <si>
    <t xml:space="preserve">TC_PL_02</t>
  </si>
  <si>
    <t xml:space="preserve">Sắp xếp Name (Z to A)</t>
  </si>
  <si>
    <t xml:space="preserve">1. Chọn sắp xếp "Name (Z to A)"</t>
  </si>
  <si>
    <t xml:space="preserve">Sản phẩm sắp xếp theo tên Z → A</t>
  </si>
  <si>
    <t xml:space="preserve">Code mẫu: test_sort_name_z_to_a</t>
  </si>
  <si>
    <t xml:space="preserve">TC_PL_03</t>
  </si>
  <si>
    <t xml:space="preserve">Sắp xếp Price (low to high)</t>
  </si>
  <si>
    <t xml:space="preserve">1. Chọn sắp xếp "Price (low to high)"</t>
  </si>
  <si>
    <t xml:space="preserve">Giá tăng dần</t>
  </si>
  <si>
    <t xml:space="preserve">test_sort_price_low_to_high</t>
  </si>
  <si>
    <t xml:space="preserve">TC_PL_04</t>
  </si>
  <si>
    <t xml:space="preserve">Sắp xếp Price (high to low)</t>
  </si>
  <si>
    <t xml:space="preserve">1. Chọn sắp xếp "Price (high to low)"</t>
  </si>
  <si>
    <t xml:space="preserve">Giá giảm dần</t>
  </si>
  <si>
    <t xml:space="preserve">TC_CT_01</t>
  </si>
  <si>
    <t xml:space="preserve">Thêm 1 sản phẩm từ trang danh sách</t>
  </si>
  <si>
    <t xml:space="preserve">1. Bấm "Add to cart" ở Sauce Labs Backpack</t>
  </si>
  <si>
    <t xml:space="preserve">Sauce Labs Backpack</t>
  </si>
  <si>
    <t xml:space="preserve">Nút đổi thành "Remove", icon giỏ hàng hiển thị 1</t>
  </si>
  <si>
    <t xml:space="preserve">test_add_one_item</t>
  </si>
  <si>
    <t xml:space="preserve">TC_CT_02</t>
  </si>
  <si>
    <t xml:space="preserve">Thêm nhiều sản phẩm</t>
  </si>
  <si>
    <t xml:space="preserve">1. Bấm "Add to cart" ở 3 sản phẩm</t>
  </si>
  <si>
    <t xml:space="preserve">Backpack, Bike Light, Bolt T-Shirt</t>
  </si>
  <si>
    <t xml:space="preserve">Icon giỏ hàng hiển thị 3</t>
  </si>
  <si>
    <t xml:space="preserve">test_add_three_items</t>
  </si>
  <si>
    <t xml:space="preserve">TC_CT_03</t>
  </si>
  <si>
    <t xml:space="preserve">Thêm toàn bộ 6 sản phẩm</t>
  </si>
  <si>
    <t xml:space="preserve">1. Bấm "Add to cart" ở cả 6 sản phẩm</t>
  </si>
  <si>
    <t xml:space="preserve">6 sản phẩm</t>
  </si>
  <si>
    <t xml:space="preserve">Icon giỏ hàng hiển thị 6, tất cả nút đổi thành "Remove"</t>
  </si>
  <si>
    <t xml:space="preserve">test_add_all_items</t>
  </si>
  <si>
    <t xml:space="preserve">TC_CT_04</t>
  </si>
  <si>
    <t xml:space="preserve">Xóa sản phẩm ở trang danh sách</t>
  </si>
  <si>
    <t xml:space="preserve">Đã thêm 2 sản phẩm vào giỏ</t>
  </si>
  <si>
    <t xml:space="preserve">1. Bấm "Remove" ở 1 sản phẩm</t>
  </si>
  <si>
    <t xml:space="preserve">Nút trở lại "Add to cart", icon giỏ hàng giảm từ 2 về 1</t>
  </si>
  <si>
    <t xml:space="preserve">test_add_and_remove_item_updates_badge</t>
  </si>
  <si>
    <t xml:space="preserve">TC_CT_05</t>
  </si>
  <si>
    <t xml:space="preserve">Xóa hết sản phẩm thì icon giỏ không còn số</t>
  </si>
  <si>
    <t xml:space="preserve">Đã thêm 1 sản phẩm vào giỏ</t>
  </si>
  <si>
    <t xml:space="preserve">1. Bấm "Remove" ở sản phẩm đó</t>
  </si>
  <si>
    <t xml:space="preserve">Số trên icon giỏ hàng biến mất (không hiển thị 0)</t>
  </si>
  <si>
    <t xml:space="preserve">test_badge_disappears_when_cart_empty</t>
  </si>
  <si>
    <t xml:space="preserve">TC_CT_06</t>
  </si>
  <si>
    <t xml:space="preserve">Thêm sản phẩm từ trang chi tiết</t>
  </si>
  <si>
    <t xml:space="preserve">1. Bấm vào tên sản phẩm
2. Bấm "Add to cart"
3. Bấm "Back to products"</t>
  </si>
  <si>
    <t xml:space="preserve">Icon giỏ hàng hiển thị 1; ở trang danh sách, nút của sản phẩm đó là "Remove"</t>
  </si>
  <si>
    <t xml:space="preserve">test_add_item_from_detail_page</t>
  </si>
  <si>
    <t xml:space="preserve">TC_CT_07</t>
  </si>
  <si>
    <t xml:space="preserve">Giỏ hàng hiển thị đúng thông tin sản phẩm</t>
  </si>
  <si>
    <t xml:space="preserve">Đã thêm Backpack ($29.99) vào giỏ</t>
  </si>
  <si>
    <t xml:space="preserve">1. Bấm icon giỏ hàng</t>
  </si>
  <si>
    <t xml:space="preserve">Hiển thị đúng tên, giá $29.99, QTY = 1</t>
  </si>
  <si>
    <t xml:space="preserve">test_cart_shows_correct_item</t>
  </si>
  <si>
    <t xml:space="preserve">TC_CT_08</t>
  </si>
  <si>
    <t xml:space="preserve">Xóa sản phẩm trong trang giỏ hàng</t>
  </si>
  <si>
    <t xml:space="preserve">Đã thêm 2 sản phẩm, đang ở trang giỏ hàng</t>
  </si>
  <si>
    <t xml:space="preserve">Sản phẩm biến mất khỏi giỏ, icon giỏ hàng giảm còn 1</t>
  </si>
  <si>
    <t xml:space="preserve">test_remove_item_in_cart_page</t>
  </si>
  <si>
    <t xml:space="preserve">TC_CT_09</t>
  </si>
  <si>
    <t xml:space="preserve">Continue Shopping giữ nguyên giỏ hàng</t>
  </si>
  <si>
    <t xml:space="preserve">Đã thêm 1 sản phẩm, đang ở trang giỏ hàng</t>
  </si>
  <si>
    <t xml:space="preserve">1. Bấm "Continue Shopping"</t>
  </si>
  <si>
    <t xml:space="preserve">Quay về trang sản phẩm, icon giỏ hàng vẫn là 1</t>
  </si>
  <si>
    <t xml:space="preserve">test_continue_shopping_keeps_cart</t>
  </si>
  <si>
    <t xml:space="preserve">TC_CT_10</t>
  </si>
  <si>
    <t xml:space="preserve">Giỏ hàng giữ nguyên sau khi tải lại trang</t>
  </si>
  <si>
    <t xml:space="preserve">1. Bấm F5 tải lại trang</t>
  </si>
  <si>
    <t xml:space="preserve">Icon giỏ hàng vẫn là 2</t>
  </si>
  <si>
    <t xml:space="preserve">test_cart_kept_after_reload</t>
  </si>
  <si>
    <t xml:space="preserve">TC_CT_11</t>
  </si>
  <si>
    <t xml:space="preserve">Reset App State làm trống giỏ hàng</t>
  </si>
  <si>
    <t xml:space="preserve">1. Bấm Menu (☰)
2. Bấm "Reset App State"</t>
  </si>
  <si>
    <t xml:space="preserve">Icon giỏ hàng không còn số, giỏ hàng trống</t>
  </si>
  <si>
    <t xml:space="preserve">test_reset_app_state_empties_cart</t>
  </si>
  <si>
    <t xml:space="preserve">TC_CT_12</t>
  </si>
  <si>
    <t xml:space="preserve">problem_user thêm sản phẩm vào giỏ</t>
  </si>
  <si>
    <t xml:space="preserve">Đăng nhập bằng problem_user</t>
  </si>
  <si>
    <t xml:space="preserve">problem_user / secret_sauce</t>
  </si>
  <si>
    <t xml:space="preserve">Thêm được cả 6 sản phẩm, icon giỏ hàng hiển thị 6</t>
  </si>
  <si>
    <t xml:space="preserve">Saucedemo cố ý cài lỗi cho user này. Dự kiến FAIL → log bug</t>
  </si>
  <si>
    <t xml:space="preserve">TC_CT_13</t>
  </si>
  <si>
    <t xml:space="preserve">error_user thêm/xóa sản phẩm</t>
  </si>
  <si>
    <t xml:space="preserve">Đăng nhập bằng error_user</t>
  </si>
  <si>
    <t xml:space="preserve">1. Thêm rồi xóa từng sản phẩm</t>
  </si>
  <si>
    <t xml:space="preserve">error_user / secret_sauce</t>
  </si>
  <si>
    <t xml:space="preserve">Thêm/xóa hoạt động bình thường, không lỗi</t>
  </si>
  <si>
    <t xml:space="preserve">TC_CO_01</t>
  </si>
  <si>
    <t xml:space="preserve">Đặt hàng thành công (E2E)</t>
  </si>
  <si>
    <t xml:space="preserve">1. Mở giỏ hàng, bấm Checkout
2. Nhập First Name, Last Name, Postal Code, bấm Continue
3. Bấm Finish</t>
  </si>
  <si>
    <t xml:space="preserve">Thuy / Ta / 100000</t>
  </si>
  <si>
    <t xml:space="preserve">Hiển thị "Thank you for your order!", icon giỏ hàng không còn số</t>
  </si>
  <si>
    <t xml:space="preserve">test_checkout_total_is_correct</t>
  </si>
  <si>
    <t xml:space="preserve">TC_CO_02</t>
  </si>
  <si>
    <t xml:space="preserve">Bấm Checkout chuyển sang bước nhập thông tin</t>
  </si>
  <si>
    <t xml:space="preserve">1. Bấm Checkout</t>
  </si>
  <si>
    <t xml:space="preserve">Chuyển sang trang "Checkout: Your Information" có 3 ô nhập</t>
  </si>
  <si>
    <t xml:space="preserve">test_checkout_opens_information_page</t>
  </si>
  <si>
    <t xml:space="preserve">TC_CO_03</t>
  </si>
  <si>
    <t xml:space="preserve">Bỏ trống First Name</t>
  </si>
  <si>
    <t xml:space="preserve">Đang ở bước "Checkout: Your Information"</t>
  </si>
  <si>
    <t xml:space="preserve">1. Để trống First Name
2. Nhập Last Name, Postal Code
3. Bấm Continue</t>
  </si>
  <si>
    <t xml:space="preserve">(trống) / Ta / 100000</t>
  </si>
  <si>
    <t xml:space="preserve">Hiển thị lỗi "Error: First Name is required", không sang bước sau</t>
  </si>
  <si>
    <t xml:space="preserve">test_checkout_required_fields[empty_first_name]</t>
  </si>
  <si>
    <t xml:space="preserve">TC_CO_04</t>
  </si>
  <si>
    <t xml:space="preserve">Bỏ trống Last Name</t>
  </si>
  <si>
    <t xml:space="preserve">1. Nhập First Name
2. Để trống Last Name
3. Nhập Postal Code
4. Bấm Continue</t>
  </si>
  <si>
    <t xml:space="preserve">Thuy / (trống) / 100000</t>
  </si>
  <si>
    <t xml:space="preserve">Hiển thị lỗi "Error: Last Name is required"</t>
  </si>
  <si>
    <t xml:space="preserve">test_checkout_required_fields[empty_last_name]</t>
  </si>
  <si>
    <t xml:space="preserve">TC_CO_05</t>
  </si>
  <si>
    <t xml:space="preserve">Bỏ trống Postal Code</t>
  </si>
  <si>
    <t xml:space="preserve">1. Nhập First Name, Last Name
2. Để trống Postal Code
3. Bấm Continue</t>
  </si>
  <si>
    <t xml:space="preserve">Thuy / Ta / (trống)</t>
  </si>
  <si>
    <t xml:space="preserve">Hiển thị lỗi "Error: Postal Code is required"</t>
  </si>
  <si>
    <t xml:space="preserve">test_checkout_requires_postal_code</t>
  </si>
  <si>
    <t xml:space="preserve">TC_CO_06</t>
  </si>
  <si>
    <t xml:space="preserve">Bỏ trống cả 3 ô</t>
  </si>
  <si>
    <t xml:space="preserve">1. Để trống cả 3 ô
2. Bấm Continue</t>
  </si>
  <si>
    <t xml:space="preserve">Hiển thị lỗi của ô đầu tiên: "Error: First Name is required"</t>
  </si>
  <si>
    <t xml:space="preserve">test_checkout_required_fields[all_empty]</t>
  </si>
  <si>
    <t xml:space="preserve">TC_CO_07</t>
  </si>
  <si>
    <t xml:space="preserve">First Name chỉ nhập dấu cách</t>
  </si>
  <si>
    <t xml:space="preserve">1. Nhập First Name là dấu cách
2. Nhập Last Name, Postal Code
3. Bấm Continue</t>
  </si>
  <si>
    <t xml:space="preserve">"   " / Ta / 100000</t>
  </si>
  <si>
    <t xml:space="preserve">Báo lỗi First Name là bắt buộc</t>
  </si>
  <si>
    <t xml:space="preserve">Cần chạy tay để xác nhận hành vi thực tế. Nếu vẫn qua được bước sau → có thể log bug</t>
  </si>
  <si>
    <t xml:space="preserve">TC_CO_08</t>
  </si>
  <si>
    <t xml:space="preserve">Postal Code nhập chữ và ký tự đặc biệt</t>
  </si>
  <si>
    <t xml:space="preserve">1. Nhập Postal Code không phải số
2. Bấm Continue</t>
  </si>
  <si>
    <t xml:space="preserve">Thuy / Ta / abc!@#</t>
  </si>
  <si>
    <t xml:space="preserve">Báo lỗi sai định dạng Postal Code</t>
  </si>
  <si>
    <t xml:space="preserve">Cần chạy tay để xác nhận hành vi thực tế. Saucedemo có thể không kiểm tra định dạng → dự kiến FAIL</t>
  </si>
  <si>
    <t xml:space="preserve">TC_CO_09</t>
  </si>
  <si>
    <t xml:space="preserve">Trang Overview hiển thị đúng sản phẩm</t>
  </si>
  <si>
    <t xml:space="preserve">Đã thêm Backpack, Bolt T-Shirt; đã nhập thông tin hợp lệ</t>
  </si>
  <si>
    <t xml:space="preserve">1. Quan sát trang "Checkout: Overview"</t>
  </si>
  <si>
    <t xml:space="preserve">Đúng 2 sản phẩm, đúng tên, giá, QTY như trong giỏ</t>
  </si>
  <si>
    <t xml:space="preserve">test_overview_shows_correct_items</t>
  </si>
  <si>
    <t xml:space="preserve">TC_CO_10</t>
  </si>
  <si>
    <t xml:space="preserve">Item total bằng tổng giá sản phẩm</t>
  </si>
  <si>
    <t xml:space="preserve">Đang ở trang "Checkout: Overview"</t>
  </si>
  <si>
    <t xml:space="preserve">1. Cộng giá các sản phẩm
2. So với Item total</t>
  </si>
  <si>
    <t xml:space="preserve">Backpack $29.99 + Bolt T-Shirt $15.99</t>
  </si>
  <si>
    <t xml:space="preserve">Item total = $45.98</t>
  </si>
  <si>
    <t xml:space="preserve">TC_CO_11</t>
  </si>
  <si>
    <t xml:space="preserve">Tax bằng 8% Item total</t>
  </si>
  <si>
    <t xml:space="preserve">1. Tính 8% của Item total, làm tròn 2 chữ số thập phân
2. So với Tax</t>
  </si>
  <si>
    <t xml:space="preserve">Item total $45.98</t>
  </si>
  <si>
    <t xml:space="preserve">Tax = $3.68</t>
  </si>
  <si>
    <t xml:space="preserve">test_tax_is_8_percent</t>
  </si>
  <si>
    <t xml:space="preserve">TC_CO_12</t>
  </si>
  <si>
    <t xml:space="preserve">Total bằng Item total + Tax</t>
  </si>
  <si>
    <t xml:space="preserve">1. Cộng Item total và Tax
2. So với Total</t>
  </si>
  <si>
    <t xml:space="preserve">$45.98 + $3.68</t>
  </si>
  <si>
    <t xml:space="preserve">Total = $49.66</t>
  </si>
  <si>
    <t xml:space="preserve">TC_CO_13</t>
  </si>
  <si>
    <t xml:space="preserve">Cancel ở bước nhập thông tin</t>
  </si>
  <si>
    <t xml:space="preserve">1. Bấm Cancel</t>
  </si>
  <si>
    <t xml:space="preserve">Quay về trang giỏ hàng, sản phẩm trong giỏ giữ nguyên</t>
  </si>
  <si>
    <t xml:space="preserve">test_cancel_on_information_page</t>
  </si>
  <si>
    <t xml:space="preserve">TC_CO_14</t>
  </si>
  <si>
    <t xml:space="preserve">Cancel ở bước Overview</t>
  </si>
  <si>
    <t xml:space="preserve">Quay về trang sản phẩm, icon giỏ hàng giữ nguyên số lượng</t>
  </si>
  <si>
    <t xml:space="preserve">test_cancel_on_overview_page</t>
  </si>
  <si>
    <t xml:space="preserve">TC_CO_15</t>
  </si>
  <si>
    <t xml:space="preserve">Back Home sau khi đặt hàng</t>
  </si>
  <si>
    <t xml:space="preserve">Vừa đặt hàng thành công</t>
  </si>
  <si>
    <t xml:space="preserve">1. Bấm "Back Home"</t>
  </si>
  <si>
    <t xml:space="preserve">Quay về trang sản phẩm, giỏ hàng trống, các nút là "Add to cart"</t>
  </si>
  <si>
    <t xml:space="preserve">test_back_home_after_order</t>
  </si>
  <si>
    <t xml:space="preserve">TC_CO_16</t>
  </si>
  <si>
    <t xml:space="preserve">Checkout khi giỏ hàng trống</t>
  </si>
  <si>
    <t xml:space="preserve">Đã đăng nhập, giỏ hàng trống</t>
  </si>
  <si>
    <t xml:space="preserve">1. Mở giỏ hàng
2. Bấm Checkout</t>
  </si>
  <si>
    <t xml:space="preserve">Không cho thanh toán, thông báo giỏ hàng trống</t>
  </si>
  <si>
    <t xml:space="preserve">Cần chạy tay để xác nhận hành vi thực tế. Saucedemo có thể vẫn cho đi tiếp → dự kiến FAIL, ví dụ tốt để log bug</t>
  </si>
  <si>
    <t xml:space="preserve">TC_CO_17</t>
  </si>
  <si>
    <t xml:space="preserve">problem_user nhập Last Name</t>
  </si>
  <si>
    <t xml:space="preserve">Đăng nhập bằng problem_user, đã thêm 1 sản phẩm, đang ở bước nhập thông tin</t>
  </si>
  <si>
    <t xml:space="preserve">1. Nhập First Name
2. Nhập Last Name
3. Quan sát 2 ô</t>
  </si>
  <si>
    <t xml:space="preserve">problem_user / Thuy / Ta</t>
  </si>
  <si>
    <t xml:space="preserve">Mỗi ô hiển thị đúng giá trị đã nhập</t>
  </si>
  <si>
    <t xml:space="preserve">TC_CO_18</t>
  </si>
  <si>
    <t xml:space="preserve">error_user bấm Finish</t>
  </si>
  <si>
    <t xml:space="preserve">Đăng nhập bằng error_user, đang ở trang "Checkout: Overview"</t>
  </si>
  <si>
    <t xml:space="preserve">1. Bấm Finish</t>
  </si>
  <si>
    <t xml:space="preserve">Đặt hàng thành công, hiển thị "Thank you for your order!"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</si>
</sst>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BF7"/>
        <bgColor rgb="FFEDE7F6"/>
      </patternFill>
    </fill>
    <fill>
      <patternFill patternType="solid">
        <fgColor rgb="FFFFF2CC"/>
        <bgColor rgb="FFFCE4D6"/>
      </patternFill>
    </fill>
    <fill>
      <patternFill patternType="solid">
        <fgColor rgb="FFEDE7F6"/>
        <bgColor rgb="FFDEEBF7"/>
      </patternFill>
    </fill>
    <fill>
      <patternFill patternType="solid">
        <fgColor rgb="FFE2EFDA"/>
        <bgColor rgb="FFDE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DE7F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3"/>
  </cols>
  <sheetData>
    <row r="1" customFormat="false" ht="58.2" hidden="false" customHeight="false" outlineLevel="0" collapsed="false">
      <c r="A1" s="1" t="s">
        <v>0</v>
      </c>
    </row>
    <row r="2" customFormat="false" ht="52.2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f aca="false">COUNTIFS('Test cases'!$B:$B,$A6,'Test cases'!$C:$C,"Positive")</f>
        <v>5</v>
      </c>
      <c r="C6" s="6" t="n">
        <f aca="false">COUNTIFS('Test cases'!$B:$B,$A6,'Test cases'!$C:$C,"Negative")</f>
        <v>10</v>
      </c>
      <c r="D6" s="6" t="n">
        <f aca="false">B6+C6</f>
        <v>15</v>
      </c>
      <c r="E6" s="6" t="n">
        <f aca="false">COUNTIFS('Test cases'!$B:$B,$A6,'Test cases'!$L:$L,"Pass")</f>
        <v>0</v>
      </c>
      <c r="F6" s="6" t="n">
        <f aca="false">COUNTIFS('Test cases'!$B:$B,$A6,'Test cases'!$L:$L,"Fail")</f>
        <v>0</v>
      </c>
    </row>
    <row r="7" customFormat="false" ht="15" hidden="false" customHeight="false" outlineLevel="0" collapsed="false">
      <c r="A7" s="5" t="s">
        <v>10</v>
      </c>
      <c r="B7" s="6" t="n">
        <f aca="false">COUNTIFS('Test cases'!$B:$B,$A7,'Test cases'!$C:$C,"Positive")</f>
        <v>4</v>
      </c>
      <c r="C7" s="6" t="n">
        <f aca="false">COUNTIFS('Test cases'!$B:$B,$A7,'Test cases'!$C:$C,"Negative")</f>
        <v>0</v>
      </c>
      <c r="D7" s="6" t="n">
        <f aca="false">B7+C7</f>
        <v>4</v>
      </c>
      <c r="E7" s="6" t="n">
        <f aca="false">COUNTIFS('Test cases'!$B:$B,$A7,'Test cases'!$L:$L,"Pass")</f>
        <v>0</v>
      </c>
      <c r="F7" s="6" t="n">
        <f aca="false">COUNTIFS('Test cases'!$B:$B,$A7,'Test cases'!$L:$L,"Fail")</f>
        <v>0</v>
      </c>
    </row>
    <row r="8" customFormat="false" ht="15" hidden="false" customHeight="false" outlineLevel="0" collapsed="false">
      <c r="A8" s="5" t="s">
        <v>11</v>
      </c>
      <c r="B8" s="6" t="n">
        <f aca="false">COUNTIFS('Test cases'!$B:$B,$A8,'Test cases'!$C:$C,"Positive")</f>
        <v>11</v>
      </c>
      <c r="C8" s="6" t="n">
        <f aca="false">COUNTIFS('Test cases'!$B:$B,$A8,'Test cases'!$C:$C,"Negative")</f>
        <v>2</v>
      </c>
      <c r="D8" s="6" t="n">
        <f aca="false">B8+C8</f>
        <v>13</v>
      </c>
      <c r="E8" s="6" t="n">
        <f aca="false">COUNTIFS('Test cases'!$B:$B,$A8,'Test cases'!$L:$L,"Pass")</f>
        <v>0</v>
      </c>
      <c r="F8" s="6" t="n">
        <f aca="false">COUNTIFS('Test cases'!$B:$B,$A8,'Test cases'!$L:$L,"Fail")</f>
        <v>0</v>
      </c>
    </row>
    <row r="9" customFormat="false" ht="15" hidden="false" customHeight="false" outlineLevel="0" collapsed="false">
      <c r="A9" s="5" t="s">
        <v>12</v>
      </c>
      <c r="B9" s="6" t="n">
        <f aca="false">COUNTIFS('Test cases'!$B:$B,$A9,'Test cases'!$C:$C,"Positive")</f>
        <v>9</v>
      </c>
      <c r="C9" s="6" t="n">
        <f aca="false">COUNTIFS('Test cases'!$B:$B,$A9,'Test cases'!$C:$C,"Negative")</f>
        <v>9</v>
      </c>
      <c r="D9" s="6" t="n">
        <f aca="false">B9+C9</f>
        <v>18</v>
      </c>
      <c r="E9" s="6" t="n">
        <f aca="false">COUNTIFS('Test cases'!$B:$B,$A9,'Test cases'!$L:$L,"Pass")</f>
        <v>0</v>
      </c>
      <c r="F9" s="6" t="n">
        <f aca="false">COUNTIFS('Test cases'!$B:$B,$A9,'Test cases'!$L:$L,"Fail")</f>
        <v>0</v>
      </c>
    </row>
    <row r="10" customFormat="false" ht="15" hidden="false" customHeight="false" outlineLevel="0" collapsed="false">
      <c r="A10" s="7" t="s">
        <v>6</v>
      </c>
      <c r="B10" s="8" t="n">
        <f aca="false">SUM(B6:B9)</f>
        <v>29</v>
      </c>
      <c r="C10" s="8" t="n">
        <f aca="false">SUM(C6:C9)</f>
        <v>21</v>
      </c>
      <c r="D10" s="8" t="n">
        <f aca="false">SUM(D6:D9)</f>
        <v>50</v>
      </c>
      <c r="E10" s="8" t="n">
        <f aca="false">SUM(E6:E9)</f>
        <v>0</v>
      </c>
      <c r="F10" s="8" t="n">
        <f aca="false">SUM(F6:F9)</f>
        <v>0</v>
      </c>
    </row>
    <row r="12" customFormat="false" ht="26.85" hidden="false" customHeight="false" outlineLevel="0" collapsed="false">
      <c r="A12" s="3" t="s">
        <v>13</v>
      </c>
    </row>
    <row r="13" customFormat="false" ht="15" hidden="false" customHeight="false" outlineLevel="0" collapsed="false">
      <c r="A13" s="5" t="s">
        <v>14</v>
      </c>
      <c r="B13" s="6" t="n">
        <f aca="false">COUNTIF('Test cases'!$J:$J,$A13)</f>
        <v>38</v>
      </c>
    </row>
    <row r="14" customFormat="false" ht="15" hidden="false" customHeight="false" outlineLevel="0" collapsed="false">
      <c r="A14" s="5" t="s">
        <v>15</v>
      </c>
      <c r="B14" s="6" t="n">
        <f aca="false">COUNTIF('Test cases'!$J:$J,$A14)</f>
        <v>3</v>
      </c>
    </row>
    <row r="15" customFormat="false" ht="15" hidden="false" customHeight="false" outlineLevel="0" collapsed="false">
      <c r="A15" s="5" t="s">
        <v>16</v>
      </c>
      <c r="B15" s="6" t="n">
        <f aca="false">COUNTIF('Test cases'!$J:$J,$A15)</f>
        <v>9</v>
      </c>
    </row>
    <row r="17" customFormat="false" ht="15" hidden="false" customHeight="false" outlineLevel="0" collapsed="false">
      <c r="A17" s="3" t="s">
        <v>17</v>
      </c>
    </row>
    <row r="18" customFormat="false" ht="15" hidden="false" customHeight="false" outlineLevel="0" collapsed="false">
      <c r="A18" s="5" t="s">
        <v>18</v>
      </c>
      <c r="B18" s="6" t="n">
        <f aca="false">COUNTIF('Test cases'!$L:$L,$A18)</f>
        <v>50</v>
      </c>
    </row>
    <row r="19" customFormat="false" ht="15" hidden="false" customHeight="false" outlineLevel="0" collapsed="false">
      <c r="A19" s="5" t="s">
        <v>7</v>
      </c>
      <c r="B19" s="6" t="n">
        <f aca="false">COUNTIF('Test cases'!$L:$L,$A19)</f>
        <v>0</v>
      </c>
    </row>
    <row r="20" customFormat="false" ht="15" hidden="false" customHeight="false" outlineLevel="0" collapsed="false">
      <c r="A20" s="5" t="s">
        <v>8</v>
      </c>
      <c r="B20" s="6" t="n">
        <f aca="false">COUNTIF('Test cases'!$L:$L,$A20)</f>
        <v>0</v>
      </c>
    </row>
    <row r="21" customFormat="false" ht="15" hidden="false" customHeight="false" outlineLevel="0" collapsed="false">
      <c r="A21" s="5" t="s">
        <v>19</v>
      </c>
      <c r="B21" s="6" t="n">
        <f aca="false">COUNTIF('Test cases'!$L:$L,$A21)</f>
        <v>0</v>
      </c>
    </row>
    <row r="23" customFormat="false" ht="15" hidden="false" customHeight="false" outlineLevel="0" collapsed="false">
      <c r="A23" s="3" t="s">
        <v>20</v>
      </c>
    </row>
    <row r="24" customFormat="false" ht="30" hidden="false" customHeight="true" outlineLevel="0" collapsed="false">
      <c r="A24" s="9" t="s">
        <v>21</v>
      </c>
      <c r="B24" s="9"/>
      <c r="C24" s="9"/>
      <c r="D24" s="9"/>
      <c r="E24" s="9"/>
      <c r="F24" s="9"/>
    </row>
    <row r="25" customFormat="false" ht="30" hidden="false" customHeight="true" outlineLevel="0" collapsed="false">
      <c r="A25" s="9" t="s">
        <v>22</v>
      </c>
      <c r="B25" s="9"/>
      <c r="C25" s="9"/>
      <c r="D25" s="9"/>
      <c r="E25" s="9"/>
      <c r="F25" s="9"/>
    </row>
    <row r="26" customFormat="false" ht="30" hidden="false" customHeight="true" outlineLevel="0" collapsed="false">
      <c r="A26" s="9" t="s">
        <v>23</v>
      </c>
      <c r="B26" s="9"/>
      <c r="C26" s="9"/>
      <c r="D26" s="9"/>
      <c r="E26" s="9"/>
      <c r="F26" s="9"/>
    </row>
    <row r="27" customFormat="false" ht="30" hidden="false" customHeight="true" outlineLevel="0" collapsed="false">
      <c r="A27" s="9" t="s">
        <v>24</v>
      </c>
      <c r="B27" s="9"/>
      <c r="C27" s="9"/>
      <c r="D27" s="9"/>
      <c r="E27" s="9"/>
      <c r="F27" s="9"/>
    </row>
    <row r="28" customFormat="false" ht="30" hidden="false" customHeight="true" outlineLevel="0" collapsed="false">
      <c r="A28" s="9" t="s">
        <v>25</v>
      </c>
      <c r="B28" s="9"/>
      <c r="C28" s="9"/>
      <c r="D28" s="9"/>
      <c r="E28" s="9"/>
      <c r="F28" s="9"/>
    </row>
  </sheetData>
  <mergeCells count="5">
    <mergeCell ref="A24:F24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24"/>
    <col collapsed="false" customWidth="true" hidden="false" outlineLevel="0" max="8" min="8" style="0" width="4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8"/>
    <col collapsed="false" customWidth="true" hidden="false" outlineLevel="0" max="12" min="12" style="0" width="11"/>
    <col collapsed="false" customWidth="true" hidden="false" outlineLevel="0" max="13" min="13" style="0" width="36"/>
    <col collapsed="false" customWidth="true" hidden="false" outlineLevel="0" max="14" min="14" style="0" width="38"/>
  </cols>
  <sheetData>
    <row r="1" customFormat="false" ht="30" hidden="false" customHeight="true" outlineLevel="0" collapsed="false">
      <c r="A1" s="4" t="s">
        <v>26</v>
      </c>
      <c r="B1" s="4" t="s">
        <v>3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</row>
    <row r="2" customFormat="false" ht="35.05" hidden="false" customHeight="false" outlineLevel="0" collapsed="false">
      <c r="A2" s="10" t="s">
        <v>39</v>
      </c>
      <c r="B2" s="11" t="s">
        <v>9</v>
      </c>
      <c r="C2" s="12" t="s">
        <v>4</v>
      </c>
      <c r="D2" s="13" t="s">
        <v>40</v>
      </c>
      <c r="E2" s="13" t="s">
        <v>41</v>
      </c>
      <c r="F2" s="13" t="s">
        <v>42</v>
      </c>
      <c r="G2" s="13" t="s">
        <v>43</v>
      </c>
      <c r="H2" s="13" t="s">
        <v>44</v>
      </c>
      <c r="I2" s="10" t="s">
        <v>45</v>
      </c>
      <c r="J2" s="10" t="s">
        <v>14</v>
      </c>
      <c r="K2" s="14"/>
      <c r="L2" s="15" t="s">
        <v>18</v>
      </c>
      <c r="M2" s="13"/>
      <c r="N2" s="13" t="s">
        <v>46</v>
      </c>
    </row>
    <row r="3" customFormat="false" ht="23.85" hidden="false" customHeight="false" outlineLevel="0" collapsed="false">
      <c r="A3" s="10" t="s">
        <v>47</v>
      </c>
      <c r="B3" s="11" t="s">
        <v>9</v>
      </c>
      <c r="C3" s="12" t="s">
        <v>4</v>
      </c>
      <c r="D3" s="13" t="s">
        <v>48</v>
      </c>
      <c r="E3" s="13" t="s">
        <v>41</v>
      </c>
      <c r="F3" s="13" t="s">
        <v>49</v>
      </c>
      <c r="G3" s="13" t="s">
        <v>43</v>
      </c>
      <c r="H3" s="13" t="s">
        <v>50</v>
      </c>
      <c r="I3" s="10" t="s">
        <v>51</v>
      </c>
      <c r="J3" s="10" t="s">
        <v>14</v>
      </c>
      <c r="K3" s="14"/>
      <c r="L3" s="15" t="s">
        <v>18</v>
      </c>
      <c r="M3" s="13"/>
      <c r="N3" s="13" t="s">
        <v>52</v>
      </c>
    </row>
    <row r="4" customFormat="false" ht="23.85" hidden="false" customHeight="false" outlineLevel="0" collapsed="false">
      <c r="A4" s="10" t="s">
        <v>53</v>
      </c>
      <c r="B4" s="11" t="s">
        <v>9</v>
      </c>
      <c r="C4" s="12" t="s">
        <v>4</v>
      </c>
      <c r="D4" s="13" t="s">
        <v>54</v>
      </c>
      <c r="E4" s="13" t="s">
        <v>41</v>
      </c>
      <c r="F4" s="13" t="s">
        <v>55</v>
      </c>
      <c r="G4" s="13" t="s">
        <v>56</v>
      </c>
      <c r="H4" s="13" t="s">
        <v>57</v>
      </c>
      <c r="I4" s="10" t="s">
        <v>51</v>
      </c>
      <c r="J4" s="10" t="s">
        <v>14</v>
      </c>
      <c r="K4" s="14"/>
      <c r="L4" s="15" t="s">
        <v>18</v>
      </c>
      <c r="M4" s="13"/>
      <c r="N4" s="13" t="s">
        <v>58</v>
      </c>
    </row>
    <row r="5" customFormat="false" ht="23.85" hidden="false" customHeight="false" outlineLevel="0" collapsed="false">
      <c r="A5" s="10" t="s">
        <v>59</v>
      </c>
      <c r="B5" s="11" t="s">
        <v>9</v>
      </c>
      <c r="C5" s="16" t="s">
        <v>5</v>
      </c>
      <c r="D5" s="13" t="s">
        <v>60</v>
      </c>
      <c r="E5" s="13" t="s">
        <v>41</v>
      </c>
      <c r="F5" s="13" t="s">
        <v>61</v>
      </c>
      <c r="G5" s="13" t="s">
        <v>62</v>
      </c>
      <c r="H5" s="13" t="s">
        <v>63</v>
      </c>
      <c r="I5" s="10" t="s">
        <v>45</v>
      </c>
      <c r="J5" s="10" t="s">
        <v>14</v>
      </c>
      <c r="K5" s="14"/>
      <c r="L5" s="15" t="s">
        <v>18</v>
      </c>
      <c r="M5" s="13"/>
      <c r="N5" s="13" t="s">
        <v>64</v>
      </c>
    </row>
    <row r="6" customFormat="false" ht="35.05" hidden="false" customHeight="false" outlineLevel="0" collapsed="false">
      <c r="A6" s="10" t="s">
        <v>65</v>
      </c>
      <c r="B6" s="11" t="s">
        <v>9</v>
      </c>
      <c r="C6" s="16" t="s">
        <v>5</v>
      </c>
      <c r="D6" s="13" t="s">
        <v>66</v>
      </c>
      <c r="E6" s="13" t="s">
        <v>41</v>
      </c>
      <c r="F6" s="13" t="s">
        <v>67</v>
      </c>
      <c r="G6" s="13" t="s">
        <v>68</v>
      </c>
      <c r="H6" s="13" t="s">
        <v>69</v>
      </c>
      <c r="I6" s="10" t="s">
        <v>45</v>
      </c>
      <c r="J6" s="10" t="s">
        <v>14</v>
      </c>
      <c r="K6" s="14"/>
      <c r="L6" s="15" t="s">
        <v>18</v>
      </c>
      <c r="M6" s="13"/>
      <c r="N6" s="13" t="s">
        <v>70</v>
      </c>
    </row>
    <row r="7" customFormat="false" ht="35.05" hidden="false" customHeight="false" outlineLevel="0" collapsed="false">
      <c r="A7" s="10" t="s">
        <v>71</v>
      </c>
      <c r="B7" s="11" t="s">
        <v>9</v>
      </c>
      <c r="C7" s="16" t="s">
        <v>5</v>
      </c>
      <c r="D7" s="13" t="s">
        <v>72</v>
      </c>
      <c r="E7" s="13" t="s">
        <v>41</v>
      </c>
      <c r="F7" s="13" t="s">
        <v>73</v>
      </c>
      <c r="G7" s="13" t="s">
        <v>74</v>
      </c>
      <c r="H7" s="13" t="s">
        <v>75</v>
      </c>
      <c r="I7" s="10" t="s">
        <v>45</v>
      </c>
      <c r="J7" s="10" t="s">
        <v>14</v>
      </c>
      <c r="K7" s="14"/>
      <c r="L7" s="15" t="s">
        <v>18</v>
      </c>
      <c r="M7" s="13"/>
      <c r="N7" s="13" t="s">
        <v>76</v>
      </c>
    </row>
    <row r="8" customFormat="false" ht="35.05" hidden="false" customHeight="false" outlineLevel="0" collapsed="false">
      <c r="A8" s="10" t="s">
        <v>77</v>
      </c>
      <c r="B8" s="11" t="s">
        <v>9</v>
      </c>
      <c r="C8" s="16" t="s">
        <v>5</v>
      </c>
      <c r="D8" s="13" t="s">
        <v>78</v>
      </c>
      <c r="E8" s="13" t="s">
        <v>41</v>
      </c>
      <c r="F8" s="13" t="s">
        <v>79</v>
      </c>
      <c r="G8" s="13" t="s">
        <v>80</v>
      </c>
      <c r="H8" s="13" t="s">
        <v>81</v>
      </c>
      <c r="I8" s="10" t="s">
        <v>45</v>
      </c>
      <c r="J8" s="10" t="s">
        <v>14</v>
      </c>
      <c r="K8" s="14"/>
      <c r="L8" s="15" t="s">
        <v>18</v>
      </c>
      <c r="M8" s="13"/>
      <c r="N8" s="13" t="s">
        <v>82</v>
      </c>
    </row>
    <row r="9" customFormat="false" ht="35.05" hidden="false" customHeight="false" outlineLevel="0" collapsed="false">
      <c r="A9" s="10" t="s">
        <v>83</v>
      </c>
      <c r="B9" s="11" t="s">
        <v>9</v>
      </c>
      <c r="C9" s="16" t="s">
        <v>5</v>
      </c>
      <c r="D9" s="13" t="s">
        <v>84</v>
      </c>
      <c r="E9" s="13" t="s">
        <v>41</v>
      </c>
      <c r="F9" s="13" t="s">
        <v>85</v>
      </c>
      <c r="G9" s="13" t="s">
        <v>86</v>
      </c>
      <c r="H9" s="13" t="s">
        <v>87</v>
      </c>
      <c r="I9" s="10" t="s">
        <v>51</v>
      </c>
      <c r="J9" s="10" t="s">
        <v>14</v>
      </c>
      <c r="K9" s="14"/>
      <c r="L9" s="15" t="s">
        <v>18</v>
      </c>
      <c r="M9" s="13"/>
      <c r="N9" s="13" t="s">
        <v>88</v>
      </c>
    </row>
    <row r="10" customFormat="false" ht="23.85" hidden="false" customHeight="false" outlineLevel="0" collapsed="false">
      <c r="A10" s="10" t="s">
        <v>89</v>
      </c>
      <c r="B10" s="11" t="s">
        <v>9</v>
      </c>
      <c r="C10" s="16" t="s">
        <v>5</v>
      </c>
      <c r="D10" s="13" t="s">
        <v>90</v>
      </c>
      <c r="E10" s="13" t="s">
        <v>41</v>
      </c>
      <c r="F10" s="13" t="s">
        <v>91</v>
      </c>
      <c r="G10" s="13" t="s">
        <v>92</v>
      </c>
      <c r="H10" s="13" t="s">
        <v>93</v>
      </c>
      <c r="I10" s="10" t="s">
        <v>45</v>
      </c>
      <c r="J10" s="10" t="s">
        <v>14</v>
      </c>
      <c r="K10" s="14"/>
      <c r="L10" s="15" t="s">
        <v>18</v>
      </c>
      <c r="M10" s="13"/>
      <c r="N10" s="13" t="s">
        <v>94</v>
      </c>
    </row>
    <row r="11" customFormat="false" ht="35.05" hidden="false" customHeight="false" outlineLevel="0" collapsed="false">
      <c r="A11" s="10" t="s">
        <v>95</v>
      </c>
      <c r="B11" s="11" t="s">
        <v>9</v>
      </c>
      <c r="C11" s="16" t="s">
        <v>5</v>
      </c>
      <c r="D11" s="13" t="s">
        <v>96</v>
      </c>
      <c r="E11" s="13" t="s">
        <v>41</v>
      </c>
      <c r="F11" s="13" t="s">
        <v>97</v>
      </c>
      <c r="G11" s="13" t="s">
        <v>98</v>
      </c>
      <c r="H11" s="13" t="s">
        <v>99</v>
      </c>
      <c r="I11" s="10" t="s">
        <v>100</v>
      </c>
      <c r="J11" s="10" t="s">
        <v>14</v>
      </c>
      <c r="K11" s="14"/>
      <c r="L11" s="15" t="s">
        <v>18</v>
      </c>
      <c r="M11" s="13"/>
      <c r="N11" s="13" t="s">
        <v>101</v>
      </c>
    </row>
    <row r="12" customFormat="false" ht="35.05" hidden="false" customHeight="false" outlineLevel="0" collapsed="false">
      <c r="A12" s="10" t="s">
        <v>102</v>
      </c>
      <c r="B12" s="11" t="s">
        <v>9</v>
      </c>
      <c r="C12" s="16" t="s">
        <v>5</v>
      </c>
      <c r="D12" s="13" t="s">
        <v>103</v>
      </c>
      <c r="E12" s="13" t="s">
        <v>41</v>
      </c>
      <c r="F12" s="13" t="s">
        <v>104</v>
      </c>
      <c r="G12" s="13" t="s">
        <v>105</v>
      </c>
      <c r="H12" s="13" t="s">
        <v>99</v>
      </c>
      <c r="I12" s="10" t="s">
        <v>100</v>
      </c>
      <c r="J12" s="10" t="s">
        <v>16</v>
      </c>
      <c r="K12" s="14"/>
      <c r="L12" s="15" t="s">
        <v>18</v>
      </c>
      <c r="M12" s="13" t="s">
        <v>106</v>
      </c>
      <c r="N12" s="13"/>
    </row>
    <row r="13" customFormat="false" ht="35.05" hidden="false" customHeight="false" outlineLevel="0" collapsed="false">
      <c r="A13" s="10" t="s">
        <v>107</v>
      </c>
      <c r="B13" s="11" t="s">
        <v>9</v>
      </c>
      <c r="C13" s="16" t="s">
        <v>5</v>
      </c>
      <c r="D13" s="13" t="s">
        <v>108</v>
      </c>
      <c r="E13" s="13" t="s">
        <v>109</v>
      </c>
      <c r="F13" s="13" t="s">
        <v>110</v>
      </c>
      <c r="G13" s="13"/>
      <c r="H13" s="13" t="s">
        <v>111</v>
      </c>
      <c r="I13" s="10" t="s">
        <v>45</v>
      </c>
      <c r="J13" s="10" t="s">
        <v>14</v>
      </c>
      <c r="K13" s="14"/>
      <c r="L13" s="15" t="s">
        <v>18</v>
      </c>
      <c r="M13" s="13"/>
      <c r="N13" s="13" t="s">
        <v>112</v>
      </c>
    </row>
    <row r="14" customFormat="false" ht="23.85" hidden="false" customHeight="false" outlineLevel="0" collapsed="false">
      <c r="A14" s="10" t="s">
        <v>113</v>
      </c>
      <c r="B14" s="11" t="s">
        <v>9</v>
      </c>
      <c r="C14" s="12" t="s">
        <v>4</v>
      </c>
      <c r="D14" s="13" t="s">
        <v>114</v>
      </c>
      <c r="E14" s="13" t="s">
        <v>115</v>
      </c>
      <c r="F14" s="13" t="s">
        <v>116</v>
      </c>
      <c r="G14" s="13"/>
      <c r="H14" s="13" t="s">
        <v>117</v>
      </c>
      <c r="I14" s="10" t="s">
        <v>100</v>
      </c>
      <c r="J14" s="10" t="s">
        <v>14</v>
      </c>
      <c r="K14" s="14"/>
      <c r="L14" s="15" t="s">
        <v>18</v>
      </c>
      <c r="M14" s="13"/>
      <c r="N14" s="13" t="s">
        <v>118</v>
      </c>
    </row>
    <row r="15" customFormat="false" ht="23.85" hidden="false" customHeight="false" outlineLevel="0" collapsed="false">
      <c r="A15" s="10" t="s">
        <v>119</v>
      </c>
      <c r="B15" s="11" t="s">
        <v>9</v>
      </c>
      <c r="C15" s="12" t="s">
        <v>4</v>
      </c>
      <c r="D15" s="13" t="s">
        <v>120</v>
      </c>
      <c r="E15" s="13" t="s">
        <v>121</v>
      </c>
      <c r="F15" s="13" t="s">
        <v>122</v>
      </c>
      <c r="G15" s="13"/>
      <c r="H15" s="13" t="s">
        <v>123</v>
      </c>
      <c r="I15" s="10" t="s">
        <v>45</v>
      </c>
      <c r="J15" s="10" t="s">
        <v>14</v>
      </c>
      <c r="K15" s="14"/>
      <c r="L15" s="15" t="s">
        <v>18</v>
      </c>
      <c r="M15" s="13"/>
      <c r="N15" s="13" t="s">
        <v>124</v>
      </c>
    </row>
    <row r="16" customFormat="false" ht="23.85" hidden="false" customHeight="false" outlineLevel="0" collapsed="false">
      <c r="A16" s="10" t="s">
        <v>125</v>
      </c>
      <c r="B16" s="11" t="s">
        <v>9</v>
      </c>
      <c r="C16" s="16" t="s">
        <v>5</v>
      </c>
      <c r="D16" s="13" t="s">
        <v>126</v>
      </c>
      <c r="E16" s="13" t="s">
        <v>127</v>
      </c>
      <c r="F16" s="13" t="s">
        <v>128</v>
      </c>
      <c r="G16" s="13"/>
      <c r="H16" s="13" t="s">
        <v>129</v>
      </c>
      <c r="I16" s="10" t="s">
        <v>51</v>
      </c>
      <c r="J16" s="10" t="s">
        <v>16</v>
      </c>
      <c r="K16" s="14"/>
      <c r="L16" s="15" t="s">
        <v>18</v>
      </c>
      <c r="M16" s="13" t="s">
        <v>106</v>
      </c>
      <c r="N16" s="13"/>
    </row>
    <row r="17" customFormat="false" ht="23.85" hidden="false" customHeight="false" outlineLevel="0" collapsed="false">
      <c r="A17" s="10" t="s">
        <v>130</v>
      </c>
      <c r="B17" s="17" t="s">
        <v>10</v>
      </c>
      <c r="C17" s="12" t="s">
        <v>4</v>
      </c>
      <c r="D17" s="13" t="s">
        <v>131</v>
      </c>
      <c r="E17" s="13" t="s">
        <v>121</v>
      </c>
      <c r="F17" s="13" t="s">
        <v>132</v>
      </c>
      <c r="G17" s="13"/>
      <c r="H17" s="13" t="s">
        <v>133</v>
      </c>
      <c r="I17" s="10" t="s">
        <v>51</v>
      </c>
      <c r="J17" s="10" t="s">
        <v>15</v>
      </c>
      <c r="K17" s="14"/>
      <c r="L17" s="15" t="s">
        <v>18</v>
      </c>
      <c r="M17" s="13"/>
      <c r="N17" s="13"/>
    </row>
    <row r="18" customFormat="false" ht="23.85" hidden="false" customHeight="false" outlineLevel="0" collapsed="false">
      <c r="A18" s="10" t="s">
        <v>134</v>
      </c>
      <c r="B18" s="17" t="s">
        <v>10</v>
      </c>
      <c r="C18" s="12" t="s">
        <v>4</v>
      </c>
      <c r="D18" s="13" t="s">
        <v>135</v>
      </c>
      <c r="E18" s="13" t="s">
        <v>121</v>
      </c>
      <c r="F18" s="13" t="s">
        <v>136</v>
      </c>
      <c r="G18" s="13"/>
      <c r="H18" s="13" t="s">
        <v>137</v>
      </c>
      <c r="I18" s="10" t="s">
        <v>51</v>
      </c>
      <c r="J18" s="10" t="s">
        <v>15</v>
      </c>
      <c r="K18" s="14"/>
      <c r="L18" s="15" t="s">
        <v>18</v>
      </c>
      <c r="M18" s="13" t="s">
        <v>138</v>
      </c>
      <c r="N18" s="13"/>
    </row>
    <row r="19" customFormat="false" ht="23.85" hidden="false" customHeight="false" outlineLevel="0" collapsed="false">
      <c r="A19" s="10" t="s">
        <v>139</v>
      </c>
      <c r="B19" s="17" t="s">
        <v>10</v>
      </c>
      <c r="C19" s="12" t="s">
        <v>4</v>
      </c>
      <c r="D19" s="13" t="s">
        <v>140</v>
      </c>
      <c r="E19" s="13" t="s">
        <v>121</v>
      </c>
      <c r="F19" s="13" t="s">
        <v>141</v>
      </c>
      <c r="G19" s="13"/>
      <c r="H19" s="13" t="s">
        <v>142</v>
      </c>
      <c r="I19" s="10" t="s">
        <v>51</v>
      </c>
      <c r="J19" s="10" t="s">
        <v>14</v>
      </c>
      <c r="K19" s="14"/>
      <c r="L19" s="15" t="s">
        <v>18</v>
      </c>
      <c r="M19" s="13"/>
      <c r="N19" s="13" t="s">
        <v>143</v>
      </c>
    </row>
    <row r="20" customFormat="false" ht="23.85" hidden="false" customHeight="false" outlineLevel="0" collapsed="false">
      <c r="A20" s="10" t="s">
        <v>144</v>
      </c>
      <c r="B20" s="17" t="s">
        <v>10</v>
      </c>
      <c r="C20" s="12" t="s">
        <v>4</v>
      </c>
      <c r="D20" s="13" t="s">
        <v>145</v>
      </c>
      <c r="E20" s="13" t="s">
        <v>121</v>
      </c>
      <c r="F20" s="13" t="s">
        <v>146</v>
      </c>
      <c r="G20" s="13"/>
      <c r="H20" s="13" t="s">
        <v>147</v>
      </c>
      <c r="I20" s="10" t="s">
        <v>51</v>
      </c>
      <c r="J20" s="10" t="s">
        <v>15</v>
      </c>
      <c r="K20" s="14"/>
      <c r="L20" s="15" t="s">
        <v>18</v>
      </c>
      <c r="M20" s="13"/>
      <c r="N20" s="13"/>
    </row>
    <row r="21" customFormat="false" ht="23.85" hidden="false" customHeight="false" outlineLevel="0" collapsed="false">
      <c r="A21" s="10" t="s">
        <v>148</v>
      </c>
      <c r="B21" s="18" t="s">
        <v>11</v>
      </c>
      <c r="C21" s="12" t="s">
        <v>4</v>
      </c>
      <c r="D21" s="13" t="s">
        <v>149</v>
      </c>
      <c r="E21" s="13" t="s">
        <v>121</v>
      </c>
      <c r="F21" s="13" t="s">
        <v>150</v>
      </c>
      <c r="G21" s="13" t="s">
        <v>151</v>
      </c>
      <c r="H21" s="13" t="s">
        <v>152</v>
      </c>
      <c r="I21" s="10" t="s">
        <v>45</v>
      </c>
      <c r="J21" s="10" t="s">
        <v>14</v>
      </c>
      <c r="K21" s="14"/>
      <c r="L21" s="15" t="s">
        <v>18</v>
      </c>
      <c r="M21" s="13"/>
      <c r="N21" s="13" t="s">
        <v>153</v>
      </c>
    </row>
    <row r="22" customFormat="false" ht="23.85" hidden="false" customHeight="false" outlineLevel="0" collapsed="false">
      <c r="A22" s="10" t="s">
        <v>154</v>
      </c>
      <c r="B22" s="18" t="s">
        <v>11</v>
      </c>
      <c r="C22" s="12" t="s">
        <v>4</v>
      </c>
      <c r="D22" s="13" t="s">
        <v>155</v>
      </c>
      <c r="E22" s="13" t="s">
        <v>121</v>
      </c>
      <c r="F22" s="13" t="s">
        <v>156</v>
      </c>
      <c r="G22" s="13" t="s">
        <v>157</v>
      </c>
      <c r="H22" s="13" t="s">
        <v>158</v>
      </c>
      <c r="I22" s="10" t="s">
        <v>45</v>
      </c>
      <c r="J22" s="10" t="s">
        <v>14</v>
      </c>
      <c r="K22" s="14"/>
      <c r="L22" s="15" t="s">
        <v>18</v>
      </c>
      <c r="M22" s="13"/>
      <c r="N22" s="13" t="s">
        <v>159</v>
      </c>
    </row>
    <row r="23" customFormat="false" ht="23.85" hidden="false" customHeight="false" outlineLevel="0" collapsed="false">
      <c r="A23" s="10" t="s">
        <v>160</v>
      </c>
      <c r="B23" s="18" t="s">
        <v>11</v>
      </c>
      <c r="C23" s="12" t="s">
        <v>4</v>
      </c>
      <c r="D23" s="13" t="s">
        <v>161</v>
      </c>
      <c r="E23" s="13" t="s">
        <v>121</v>
      </c>
      <c r="F23" s="13" t="s">
        <v>162</v>
      </c>
      <c r="G23" s="13" t="s">
        <v>163</v>
      </c>
      <c r="H23" s="13" t="s">
        <v>164</v>
      </c>
      <c r="I23" s="10" t="s">
        <v>51</v>
      </c>
      <c r="J23" s="10" t="s">
        <v>14</v>
      </c>
      <c r="K23" s="14"/>
      <c r="L23" s="15" t="s">
        <v>18</v>
      </c>
      <c r="M23" s="13"/>
      <c r="N23" s="13" t="s">
        <v>165</v>
      </c>
    </row>
    <row r="24" customFormat="false" ht="23.85" hidden="false" customHeight="false" outlineLevel="0" collapsed="false">
      <c r="A24" s="10" t="s">
        <v>166</v>
      </c>
      <c r="B24" s="18" t="s">
        <v>11</v>
      </c>
      <c r="C24" s="12" t="s">
        <v>4</v>
      </c>
      <c r="D24" s="13" t="s">
        <v>167</v>
      </c>
      <c r="E24" s="13" t="s">
        <v>168</v>
      </c>
      <c r="F24" s="13" t="s">
        <v>169</v>
      </c>
      <c r="G24" s="13"/>
      <c r="H24" s="13" t="s">
        <v>170</v>
      </c>
      <c r="I24" s="10" t="s">
        <v>45</v>
      </c>
      <c r="J24" s="10" t="s">
        <v>14</v>
      </c>
      <c r="K24" s="14"/>
      <c r="L24" s="15" t="s">
        <v>18</v>
      </c>
      <c r="M24" s="13"/>
      <c r="N24" s="13" t="s">
        <v>171</v>
      </c>
    </row>
    <row r="25" customFormat="false" ht="23.85" hidden="false" customHeight="false" outlineLevel="0" collapsed="false">
      <c r="A25" s="10" t="s">
        <v>172</v>
      </c>
      <c r="B25" s="18" t="s">
        <v>11</v>
      </c>
      <c r="C25" s="12" t="s">
        <v>4</v>
      </c>
      <c r="D25" s="13" t="s">
        <v>173</v>
      </c>
      <c r="E25" s="13" t="s">
        <v>174</v>
      </c>
      <c r="F25" s="13" t="s">
        <v>175</v>
      </c>
      <c r="G25" s="13"/>
      <c r="H25" s="13" t="s">
        <v>176</v>
      </c>
      <c r="I25" s="10" t="s">
        <v>51</v>
      </c>
      <c r="J25" s="10" t="s">
        <v>14</v>
      </c>
      <c r="K25" s="14"/>
      <c r="L25" s="15" t="s">
        <v>18</v>
      </c>
      <c r="M25" s="13"/>
      <c r="N25" s="13" t="s">
        <v>177</v>
      </c>
    </row>
    <row r="26" customFormat="false" ht="35.05" hidden="false" customHeight="false" outlineLevel="0" collapsed="false">
      <c r="A26" s="10" t="s">
        <v>178</v>
      </c>
      <c r="B26" s="18" t="s">
        <v>11</v>
      </c>
      <c r="C26" s="12" t="s">
        <v>4</v>
      </c>
      <c r="D26" s="13" t="s">
        <v>179</v>
      </c>
      <c r="E26" s="13" t="s">
        <v>121</v>
      </c>
      <c r="F26" s="13" t="s">
        <v>180</v>
      </c>
      <c r="G26" s="13" t="s">
        <v>151</v>
      </c>
      <c r="H26" s="13" t="s">
        <v>181</v>
      </c>
      <c r="I26" s="10" t="s">
        <v>51</v>
      </c>
      <c r="J26" s="10" t="s">
        <v>14</v>
      </c>
      <c r="K26" s="14"/>
      <c r="L26" s="15" t="s">
        <v>18</v>
      </c>
      <c r="M26" s="13"/>
      <c r="N26" s="13" t="s">
        <v>182</v>
      </c>
    </row>
    <row r="27" customFormat="false" ht="23.85" hidden="false" customHeight="false" outlineLevel="0" collapsed="false">
      <c r="A27" s="10" t="s">
        <v>183</v>
      </c>
      <c r="B27" s="18" t="s">
        <v>11</v>
      </c>
      <c r="C27" s="12" t="s">
        <v>4</v>
      </c>
      <c r="D27" s="13" t="s">
        <v>184</v>
      </c>
      <c r="E27" s="13" t="s">
        <v>185</v>
      </c>
      <c r="F27" s="13" t="s">
        <v>186</v>
      </c>
      <c r="G27" s="13"/>
      <c r="H27" s="13" t="s">
        <v>187</v>
      </c>
      <c r="I27" s="10" t="s">
        <v>45</v>
      </c>
      <c r="J27" s="10" t="s">
        <v>14</v>
      </c>
      <c r="K27" s="14"/>
      <c r="L27" s="15" t="s">
        <v>18</v>
      </c>
      <c r="M27" s="13"/>
      <c r="N27" s="13" t="s">
        <v>188</v>
      </c>
    </row>
    <row r="28" customFormat="false" ht="23.85" hidden="false" customHeight="false" outlineLevel="0" collapsed="false">
      <c r="A28" s="10" t="s">
        <v>189</v>
      </c>
      <c r="B28" s="18" t="s">
        <v>11</v>
      </c>
      <c r="C28" s="12" t="s">
        <v>4</v>
      </c>
      <c r="D28" s="13" t="s">
        <v>190</v>
      </c>
      <c r="E28" s="13" t="s">
        <v>191</v>
      </c>
      <c r="F28" s="13" t="s">
        <v>169</v>
      </c>
      <c r="G28" s="13"/>
      <c r="H28" s="13" t="s">
        <v>192</v>
      </c>
      <c r="I28" s="10" t="s">
        <v>45</v>
      </c>
      <c r="J28" s="10" t="s">
        <v>14</v>
      </c>
      <c r="K28" s="14"/>
      <c r="L28" s="15" t="s">
        <v>18</v>
      </c>
      <c r="M28" s="13"/>
      <c r="N28" s="13" t="s">
        <v>193</v>
      </c>
    </row>
    <row r="29" customFormat="false" ht="23.85" hidden="false" customHeight="false" outlineLevel="0" collapsed="false">
      <c r="A29" s="10" t="s">
        <v>194</v>
      </c>
      <c r="B29" s="18" t="s">
        <v>11</v>
      </c>
      <c r="C29" s="12" t="s">
        <v>4</v>
      </c>
      <c r="D29" s="13" t="s">
        <v>195</v>
      </c>
      <c r="E29" s="13" t="s">
        <v>196</v>
      </c>
      <c r="F29" s="13" t="s">
        <v>197</v>
      </c>
      <c r="G29" s="13"/>
      <c r="H29" s="13" t="s">
        <v>198</v>
      </c>
      <c r="I29" s="10" t="s">
        <v>51</v>
      </c>
      <c r="J29" s="10" t="s">
        <v>14</v>
      </c>
      <c r="K29" s="14"/>
      <c r="L29" s="15" t="s">
        <v>18</v>
      </c>
      <c r="M29" s="13"/>
      <c r="N29" s="13" t="s">
        <v>199</v>
      </c>
    </row>
    <row r="30" customFormat="false" ht="23.85" hidden="false" customHeight="false" outlineLevel="0" collapsed="false">
      <c r="A30" s="10" t="s">
        <v>200</v>
      </c>
      <c r="B30" s="18" t="s">
        <v>11</v>
      </c>
      <c r="C30" s="12" t="s">
        <v>4</v>
      </c>
      <c r="D30" s="13" t="s">
        <v>201</v>
      </c>
      <c r="E30" s="13" t="s">
        <v>168</v>
      </c>
      <c r="F30" s="13" t="s">
        <v>202</v>
      </c>
      <c r="G30" s="13"/>
      <c r="H30" s="13" t="s">
        <v>203</v>
      </c>
      <c r="I30" s="10" t="s">
        <v>51</v>
      </c>
      <c r="J30" s="10" t="s">
        <v>14</v>
      </c>
      <c r="K30" s="14"/>
      <c r="L30" s="15" t="s">
        <v>18</v>
      </c>
      <c r="M30" s="13"/>
      <c r="N30" s="13" t="s">
        <v>204</v>
      </c>
    </row>
    <row r="31" customFormat="false" ht="23.85" hidden="false" customHeight="false" outlineLevel="0" collapsed="false">
      <c r="A31" s="10" t="s">
        <v>205</v>
      </c>
      <c r="B31" s="18" t="s">
        <v>11</v>
      </c>
      <c r="C31" s="12" t="s">
        <v>4</v>
      </c>
      <c r="D31" s="13" t="s">
        <v>206</v>
      </c>
      <c r="E31" s="13" t="s">
        <v>168</v>
      </c>
      <c r="F31" s="13" t="s">
        <v>207</v>
      </c>
      <c r="G31" s="13"/>
      <c r="H31" s="13" t="s">
        <v>208</v>
      </c>
      <c r="I31" s="10" t="s">
        <v>100</v>
      </c>
      <c r="J31" s="10" t="s">
        <v>14</v>
      </c>
      <c r="K31" s="14"/>
      <c r="L31" s="15" t="s">
        <v>18</v>
      </c>
      <c r="M31" s="13"/>
      <c r="N31" s="13" t="s">
        <v>209</v>
      </c>
    </row>
    <row r="32" customFormat="false" ht="23.85" hidden="false" customHeight="false" outlineLevel="0" collapsed="false">
      <c r="A32" s="10" t="s">
        <v>210</v>
      </c>
      <c r="B32" s="18" t="s">
        <v>11</v>
      </c>
      <c r="C32" s="16" t="s">
        <v>5</v>
      </c>
      <c r="D32" s="13" t="s">
        <v>211</v>
      </c>
      <c r="E32" s="13" t="s">
        <v>212</v>
      </c>
      <c r="F32" s="13" t="s">
        <v>162</v>
      </c>
      <c r="G32" s="13" t="s">
        <v>213</v>
      </c>
      <c r="H32" s="13" t="s">
        <v>214</v>
      </c>
      <c r="I32" s="10" t="s">
        <v>51</v>
      </c>
      <c r="J32" s="10" t="s">
        <v>16</v>
      </c>
      <c r="K32" s="14"/>
      <c r="L32" s="15" t="s">
        <v>18</v>
      </c>
      <c r="M32" s="13" t="s">
        <v>215</v>
      </c>
      <c r="N32" s="13"/>
    </row>
    <row r="33" customFormat="false" ht="23.85" hidden="false" customHeight="false" outlineLevel="0" collapsed="false">
      <c r="A33" s="10" t="s">
        <v>216</v>
      </c>
      <c r="B33" s="18" t="s">
        <v>11</v>
      </c>
      <c r="C33" s="16" t="s">
        <v>5</v>
      </c>
      <c r="D33" s="13" t="s">
        <v>217</v>
      </c>
      <c r="E33" s="13" t="s">
        <v>218</v>
      </c>
      <c r="F33" s="13" t="s">
        <v>219</v>
      </c>
      <c r="G33" s="13" t="s">
        <v>220</v>
      </c>
      <c r="H33" s="13" t="s">
        <v>221</v>
      </c>
      <c r="I33" s="10" t="s">
        <v>51</v>
      </c>
      <c r="J33" s="10" t="s">
        <v>16</v>
      </c>
      <c r="K33" s="14"/>
      <c r="L33" s="15" t="s">
        <v>18</v>
      </c>
      <c r="M33" s="13" t="s">
        <v>215</v>
      </c>
      <c r="N33" s="13"/>
    </row>
    <row r="34" customFormat="false" ht="46.25" hidden="false" customHeight="false" outlineLevel="0" collapsed="false">
      <c r="A34" s="10" t="s">
        <v>222</v>
      </c>
      <c r="B34" s="19" t="s">
        <v>12</v>
      </c>
      <c r="C34" s="12" t="s">
        <v>4</v>
      </c>
      <c r="D34" s="13" t="s">
        <v>223</v>
      </c>
      <c r="E34" s="13" t="s">
        <v>168</v>
      </c>
      <c r="F34" s="13" t="s">
        <v>224</v>
      </c>
      <c r="G34" s="13" t="s">
        <v>225</v>
      </c>
      <c r="H34" s="13" t="s">
        <v>226</v>
      </c>
      <c r="I34" s="10" t="s">
        <v>45</v>
      </c>
      <c r="J34" s="10" t="s">
        <v>14</v>
      </c>
      <c r="K34" s="14"/>
      <c r="L34" s="15" t="s">
        <v>18</v>
      </c>
      <c r="M34" s="13"/>
      <c r="N34" s="13" t="s">
        <v>227</v>
      </c>
    </row>
    <row r="35" customFormat="false" ht="23.85" hidden="false" customHeight="false" outlineLevel="0" collapsed="false">
      <c r="A35" s="10" t="s">
        <v>228</v>
      </c>
      <c r="B35" s="19" t="s">
        <v>12</v>
      </c>
      <c r="C35" s="12" t="s">
        <v>4</v>
      </c>
      <c r="D35" s="13" t="s">
        <v>229</v>
      </c>
      <c r="E35" s="13" t="s">
        <v>196</v>
      </c>
      <c r="F35" s="13" t="s">
        <v>230</v>
      </c>
      <c r="G35" s="13"/>
      <c r="H35" s="13" t="s">
        <v>231</v>
      </c>
      <c r="I35" s="10" t="s">
        <v>45</v>
      </c>
      <c r="J35" s="10" t="s">
        <v>14</v>
      </c>
      <c r="K35" s="14"/>
      <c r="L35" s="15" t="s">
        <v>18</v>
      </c>
      <c r="M35" s="13"/>
      <c r="N35" s="13" t="s">
        <v>232</v>
      </c>
    </row>
    <row r="36" customFormat="false" ht="35.05" hidden="false" customHeight="false" outlineLevel="0" collapsed="false">
      <c r="A36" s="10" t="s">
        <v>233</v>
      </c>
      <c r="B36" s="19" t="s">
        <v>12</v>
      </c>
      <c r="C36" s="16" t="s">
        <v>5</v>
      </c>
      <c r="D36" s="13" t="s">
        <v>234</v>
      </c>
      <c r="E36" s="13" t="s">
        <v>235</v>
      </c>
      <c r="F36" s="13" t="s">
        <v>236</v>
      </c>
      <c r="G36" s="13" t="s">
        <v>237</v>
      </c>
      <c r="H36" s="13" t="s">
        <v>238</v>
      </c>
      <c r="I36" s="10" t="s">
        <v>45</v>
      </c>
      <c r="J36" s="10" t="s">
        <v>14</v>
      </c>
      <c r="K36" s="14"/>
      <c r="L36" s="15" t="s">
        <v>18</v>
      </c>
      <c r="M36" s="13"/>
      <c r="N36" s="13" t="s">
        <v>239</v>
      </c>
    </row>
    <row r="37" customFormat="false" ht="46.25" hidden="false" customHeight="false" outlineLevel="0" collapsed="false">
      <c r="A37" s="10" t="s">
        <v>240</v>
      </c>
      <c r="B37" s="19" t="s">
        <v>12</v>
      </c>
      <c r="C37" s="16" t="s">
        <v>5</v>
      </c>
      <c r="D37" s="13" t="s">
        <v>241</v>
      </c>
      <c r="E37" s="13" t="s">
        <v>235</v>
      </c>
      <c r="F37" s="13" t="s">
        <v>242</v>
      </c>
      <c r="G37" s="13" t="s">
        <v>243</v>
      </c>
      <c r="H37" s="13" t="s">
        <v>244</v>
      </c>
      <c r="I37" s="10" t="s">
        <v>45</v>
      </c>
      <c r="J37" s="10" t="s">
        <v>14</v>
      </c>
      <c r="K37" s="14"/>
      <c r="L37" s="15" t="s">
        <v>18</v>
      </c>
      <c r="M37" s="13"/>
      <c r="N37" s="13" t="s">
        <v>245</v>
      </c>
    </row>
    <row r="38" customFormat="false" ht="35.05" hidden="false" customHeight="false" outlineLevel="0" collapsed="false">
      <c r="A38" s="10" t="s">
        <v>246</v>
      </c>
      <c r="B38" s="19" t="s">
        <v>12</v>
      </c>
      <c r="C38" s="16" t="s">
        <v>5</v>
      </c>
      <c r="D38" s="13" t="s">
        <v>247</v>
      </c>
      <c r="E38" s="13" t="s">
        <v>235</v>
      </c>
      <c r="F38" s="13" t="s">
        <v>248</v>
      </c>
      <c r="G38" s="13" t="s">
        <v>249</v>
      </c>
      <c r="H38" s="13" t="s">
        <v>250</v>
      </c>
      <c r="I38" s="10" t="s">
        <v>45</v>
      </c>
      <c r="J38" s="10" t="s">
        <v>14</v>
      </c>
      <c r="K38" s="14"/>
      <c r="L38" s="15" t="s">
        <v>18</v>
      </c>
      <c r="M38" s="13"/>
      <c r="N38" s="13" t="s">
        <v>251</v>
      </c>
    </row>
    <row r="39" customFormat="false" ht="23.85" hidden="false" customHeight="false" outlineLevel="0" collapsed="false">
      <c r="A39" s="10" t="s">
        <v>252</v>
      </c>
      <c r="B39" s="19" t="s">
        <v>12</v>
      </c>
      <c r="C39" s="16" t="s">
        <v>5</v>
      </c>
      <c r="D39" s="13" t="s">
        <v>253</v>
      </c>
      <c r="E39" s="13" t="s">
        <v>235</v>
      </c>
      <c r="F39" s="13" t="s">
        <v>254</v>
      </c>
      <c r="G39" s="13" t="s">
        <v>62</v>
      </c>
      <c r="H39" s="13" t="s">
        <v>255</v>
      </c>
      <c r="I39" s="10" t="s">
        <v>51</v>
      </c>
      <c r="J39" s="10" t="s">
        <v>14</v>
      </c>
      <c r="K39" s="14"/>
      <c r="L39" s="15" t="s">
        <v>18</v>
      </c>
      <c r="M39" s="13"/>
      <c r="N39" s="13" t="s">
        <v>256</v>
      </c>
    </row>
    <row r="40" customFormat="false" ht="35.05" hidden="false" customHeight="false" outlineLevel="0" collapsed="false">
      <c r="A40" s="10" t="s">
        <v>257</v>
      </c>
      <c r="B40" s="19" t="s">
        <v>12</v>
      </c>
      <c r="C40" s="16" t="s">
        <v>5</v>
      </c>
      <c r="D40" s="13" t="s">
        <v>258</v>
      </c>
      <c r="E40" s="13" t="s">
        <v>235</v>
      </c>
      <c r="F40" s="13" t="s">
        <v>259</v>
      </c>
      <c r="G40" s="13" t="s">
        <v>260</v>
      </c>
      <c r="H40" s="13" t="s">
        <v>261</v>
      </c>
      <c r="I40" s="10" t="s">
        <v>100</v>
      </c>
      <c r="J40" s="10" t="s">
        <v>16</v>
      </c>
      <c r="K40" s="14"/>
      <c r="L40" s="15" t="s">
        <v>18</v>
      </c>
      <c r="M40" s="13" t="s">
        <v>262</v>
      </c>
      <c r="N40" s="13"/>
    </row>
    <row r="41" customFormat="false" ht="35.05" hidden="false" customHeight="false" outlineLevel="0" collapsed="false">
      <c r="A41" s="10" t="s">
        <v>263</v>
      </c>
      <c r="B41" s="19" t="s">
        <v>12</v>
      </c>
      <c r="C41" s="16" t="s">
        <v>5</v>
      </c>
      <c r="D41" s="13" t="s">
        <v>264</v>
      </c>
      <c r="E41" s="13" t="s">
        <v>235</v>
      </c>
      <c r="F41" s="13" t="s">
        <v>265</v>
      </c>
      <c r="G41" s="13" t="s">
        <v>266</v>
      </c>
      <c r="H41" s="13" t="s">
        <v>267</v>
      </c>
      <c r="I41" s="10" t="s">
        <v>100</v>
      </c>
      <c r="J41" s="10" t="s">
        <v>16</v>
      </c>
      <c r="K41" s="14"/>
      <c r="L41" s="15" t="s">
        <v>18</v>
      </c>
      <c r="M41" s="13" t="s">
        <v>268</v>
      </c>
      <c r="N41" s="13"/>
    </row>
    <row r="42" customFormat="false" ht="23.85" hidden="false" customHeight="false" outlineLevel="0" collapsed="false">
      <c r="A42" s="10" t="s">
        <v>269</v>
      </c>
      <c r="B42" s="19" t="s">
        <v>12</v>
      </c>
      <c r="C42" s="12" t="s">
        <v>4</v>
      </c>
      <c r="D42" s="13" t="s">
        <v>270</v>
      </c>
      <c r="E42" s="13" t="s">
        <v>271</v>
      </c>
      <c r="F42" s="13" t="s">
        <v>272</v>
      </c>
      <c r="G42" s="13"/>
      <c r="H42" s="13" t="s">
        <v>273</v>
      </c>
      <c r="I42" s="10" t="s">
        <v>45</v>
      </c>
      <c r="J42" s="10" t="s">
        <v>14</v>
      </c>
      <c r="K42" s="14"/>
      <c r="L42" s="15" t="s">
        <v>18</v>
      </c>
      <c r="M42" s="13"/>
      <c r="N42" s="13" t="s">
        <v>274</v>
      </c>
    </row>
    <row r="43" customFormat="false" ht="23.85" hidden="false" customHeight="false" outlineLevel="0" collapsed="false">
      <c r="A43" s="10" t="s">
        <v>275</v>
      </c>
      <c r="B43" s="19" t="s">
        <v>12</v>
      </c>
      <c r="C43" s="12" t="s">
        <v>4</v>
      </c>
      <c r="D43" s="13" t="s">
        <v>276</v>
      </c>
      <c r="E43" s="13" t="s">
        <v>277</v>
      </c>
      <c r="F43" s="13" t="s">
        <v>278</v>
      </c>
      <c r="G43" s="13" t="s">
        <v>279</v>
      </c>
      <c r="H43" s="13" t="s">
        <v>280</v>
      </c>
      <c r="I43" s="10" t="s">
        <v>45</v>
      </c>
      <c r="J43" s="10" t="s">
        <v>14</v>
      </c>
      <c r="K43" s="14"/>
      <c r="L43" s="15" t="s">
        <v>18</v>
      </c>
      <c r="M43" s="13"/>
      <c r="N43" s="13" t="s">
        <v>227</v>
      </c>
    </row>
    <row r="44" customFormat="false" ht="35.05" hidden="false" customHeight="false" outlineLevel="0" collapsed="false">
      <c r="A44" s="10" t="s">
        <v>281</v>
      </c>
      <c r="B44" s="19" t="s">
        <v>12</v>
      </c>
      <c r="C44" s="12" t="s">
        <v>4</v>
      </c>
      <c r="D44" s="13" t="s">
        <v>282</v>
      </c>
      <c r="E44" s="13" t="s">
        <v>277</v>
      </c>
      <c r="F44" s="13" t="s">
        <v>283</v>
      </c>
      <c r="G44" s="13" t="s">
        <v>284</v>
      </c>
      <c r="H44" s="13" t="s">
        <v>285</v>
      </c>
      <c r="I44" s="10" t="s">
        <v>45</v>
      </c>
      <c r="J44" s="10" t="s">
        <v>14</v>
      </c>
      <c r="K44" s="14"/>
      <c r="L44" s="15" t="s">
        <v>18</v>
      </c>
      <c r="M44" s="13"/>
      <c r="N44" s="13" t="s">
        <v>286</v>
      </c>
    </row>
    <row r="45" customFormat="false" ht="23.85" hidden="false" customHeight="false" outlineLevel="0" collapsed="false">
      <c r="A45" s="10" t="s">
        <v>287</v>
      </c>
      <c r="B45" s="19" t="s">
        <v>12</v>
      </c>
      <c r="C45" s="12" t="s">
        <v>4</v>
      </c>
      <c r="D45" s="13" t="s">
        <v>288</v>
      </c>
      <c r="E45" s="13" t="s">
        <v>277</v>
      </c>
      <c r="F45" s="13" t="s">
        <v>289</v>
      </c>
      <c r="G45" s="13" t="s">
        <v>290</v>
      </c>
      <c r="H45" s="13" t="s">
        <v>291</v>
      </c>
      <c r="I45" s="10" t="s">
        <v>45</v>
      </c>
      <c r="J45" s="10" t="s">
        <v>14</v>
      </c>
      <c r="K45" s="14"/>
      <c r="L45" s="15" t="s">
        <v>18</v>
      </c>
      <c r="M45" s="13"/>
      <c r="N45" s="13" t="s">
        <v>227</v>
      </c>
    </row>
    <row r="46" customFormat="false" ht="23.85" hidden="false" customHeight="false" outlineLevel="0" collapsed="false">
      <c r="A46" s="10" t="s">
        <v>292</v>
      </c>
      <c r="B46" s="19" t="s">
        <v>12</v>
      </c>
      <c r="C46" s="12" t="s">
        <v>4</v>
      </c>
      <c r="D46" s="13" t="s">
        <v>293</v>
      </c>
      <c r="E46" s="13" t="s">
        <v>235</v>
      </c>
      <c r="F46" s="13" t="s">
        <v>294</v>
      </c>
      <c r="G46" s="13"/>
      <c r="H46" s="13" t="s">
        <v>295</v>
      </c>
      <c r="I46" s="10" t="s">
        <v>51</v>
      </c>
      <c r="J46" s="10" t="s">
        <v>14</v>
      </c>
      <c r="K46" s="14"/>
      <c r="L46" s="15" t="s">
        <v>18</v>
      </c>
      <c r="M46" s="13"/>
      <c r="N46" s="13" t="s">
        <v>296</v>
      </c>
    </row>
    <row r="47" customFormat="false" ht="23.85" hidden="false" customHeight="false" outlineLevel="0" collapsed="false">
      <c r="A47" s="10" t="s">
        <v>297</v>
      </c>
      <c r="B47" s="19" t="s">
        <v>12</v>
      </c>
      <c r="C47" s="12" t="s">
        <v>4</v>
      </c>
      <c r="D47" s="13" t="s">
        <v>298</v>
      </c>
      <c r="E47" s="13" t="s">
        <v>277</v>
      </c>
      <c r="F47" s="13" t="s">
        <v>294</v>
      </c>
      <c r="G47" s="13"/>
      <c r="H47" s="13" t="s">
        <v>299</v>
      </c>
      <c r="I47" s="10" t="s">
        <v>51</v>
      </c>
      <c r="J47" s="10" t="s">
        <v>14</v>
      </c>
      <c r="K47" s="14"/>
      <c r="L47" s="15" t="s">
        <v>18</v>
      </c>
      <c r="M47" s="13"/>
      <c r="N47" s="13" t="s">
        <v>300</v>
      </c>
    </row>
    <row r="48" customFormat="false" ht="23.85" hidden="false" customHeight="false" outlineLevel="0" collapsed="false">
      <c r="A48" s="10" t="s">
        <v>301</v>
      </c>
      <c r="B48" s="19" t="s">
        <v>12</v>
      </c>
      <c r="C48" s="12" t="s">
        <v>4</v>
      </c>
      <c r="D48" s="13" t="s">
        <v>302</v>
      </c>
      <c r="E48" s="13" t="s">
        <v>303</v>
      </c>
      <c r="F48" s="13" t="s">
        <v>304</v>
      </c>
      <c r="G48" s="13"/>
      <c r="H48" s="13" t="s">
        <v>305</v>
      </c>
      <c r="I48" s="10" t="s">
        <v>51</v>
      </c>
      <c r="J48" s="10" t="s">
        <v>14</v>
      </c>
      <c r="K48" s="14"/>
      <c r="L48" s="15" t="s">
        <v>18</v>
      </c>
      <c r="M48" s="13"/>
      <c r="N48" s="13" t="s">
        <v>306</v>
      </c>
    </row>
    <row r="49" customFormat="false" ht="35.05" hidden="false" customHeight="false" outlineLevel="0" collapsed="false">
      <c r="A49" s="10" t="s">
        <v>307</v>
      </c>
      <c r="B49" s="19" t="s">
        <v>12</v>
      </c>
      <c r="C49" s="16" t="s">
        <v>5</v>
      </c>
      <c r="D49" s="13" t="s">
        <v>308</v>
      </c>
      <c r="E49" s="13" t="s">
        <v>309</v>
      </c>
      <c r="F49" s="13" t="s">
        <v>310</v>
      </c>
      <c r="G49" s="13"/>
      <c r="H49" s="13" t="s">
        <v>311</v>
      </c>
      <c r="I49" s="10" t="s">
        <v>51</v>
      </c>
      <c r="J49" s="10" t="s">
        <v>16</v>
      </c>
      <c r="K49" s="14"/>
      <c r="L49" s="15" t="s">
        <v>18</v>
      </c>
      <c r="M49" s="13" t="s">
        <v>312</v>
      </c>
      <c r="N49" s="13"/>
    </row>
    <row r="50" customFormat="false" ht="35.05" hidden="false" customHeight="false" outlineLevel="0" collapsed="false">
      <c r="A50" s="10" t="s">
        <v>313</v>
      </c>
      <c r="B50" s="19" t="s">
        <v>12</v>
      </c>
      <c r="C50" s="16" t="s">
        <v>5</v>
      </c>
      <c r="D50" s="13" t="s">
        <v>314</v>
      </c>
      <c r="E50" s="13" t="s">
        <v>315</v>
      </c>
      <c r="F50" s="13" t="s">
        <v>316</v>
      </c>
      <c r="G50" s="13" t="s">
        <v>317</v>
      </c>
      <c r="H50" s="13" t="s">
        <v>318</v>
      </c>
      <c r="I50" s="10" t="s">
        <v>51</v>
      </c>
      <c r="J50" s="10" t="s">
        <v>16</v>
      </c>
      <c r="K50" s="14"/>
      <c r="L50" s="15" t="s">
        <v>18</v>
      </c>
      <c r="M50" s="13" t="s">
        <v>215</v>
      </c>
      <c r="N50" s="13"/>
    </row>
    <row r="51" customFormat="false" ht="23.85" hidden="false" customHeight="false" outlineLevel="0" collapsed="false">
      <c r="A51" s="10" t="s">
        <v>319</v>
      </c>
      <c r="B51" s="19" t="s">
        <v>12</v>
      </c>
      <c r="C51" s="16" t="s">
        <v>5</v>
      </c>
      <c r="D51" s="13" t="s">
        <v>320</v>
      </c>
      <c r="E51" s="13" t="s">
        <v>321</v>
      </c>
      <c r="F51" s="13" t="s">
        <v>322</v>
      </c>
      <c r="G51" s="13" t="s">
        <v>220</v>
      </c>
      <c r="H51" s="13" t="s">
        <v>323</v>
      </c>
      <c r="I51" s="10" t="s">
        <v>51</v>
      </c>
      <c r="J51" s="10" t="s">
        <v>16</v>
      </c>
      <c r="K51" s="14"/>
      <c r="L51" s="15" t="s">
        <v>18</v>
      </c>
      <c r="M51" s="13" t="s">
        <v>215</v>
      </c>
      <c r="N51" s="13"/>
    </row>
  </sheetData>
  <autoFilter ref="A1:N51"/>
  <conditionalFormatting sqref="L2:L51">
    <cfRule type="cellIs" priority="2" operator="equal" aboveAverage="0" equalAverage="0" bottom="0" percent="0" rank="0" text="" dxfId="10">
      <formula>"Pass"</formula>
    </cfRule>
    <cfRule type="cellIs" priority="3" operator="equal" aboveAverage="0" equalAverage="0" bottom="0" percent="0" rank="0" text="" dxfId="11">
      <formula>"Fail"</formula>
    </cfRule>
    <cfRule type="cellIs" priority="4" operator="equal" aboveAverage="0" equalAverage="0" bottom="0" percent="0" rank="0" text="" dxfId="12">
      <formula>"Blocked"</formula>
    </cfRule>
  </conditionalFormatting>
  <dataValidations count="2">
    <dataValidation allowBlank="true" errorStyle="stop" operator="between" showDropDown="false" showErrorMessage="false" showInputMessage="false" sqref="L2:L51" type="list">
      <formula1>"Not run,Pass,Fail,Blocked"</formula1>
      <formula2>0</formula2>
    </dataValidation>
    <dataValidation allowBlank="true" errorStyle="stop" operator="between" showDropDown="false" showErrorMessage="false" showInputMessage="false" sqref="J2:J51" type="list">
      <formula1>"Đã có,Cần viết,Test tay"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2026-10-13T03:19:30Z</dcterms:created>
  <dc:creator>openpyxl</dc:creator>
  <dc:description/>
  <dc:language>en-US</dc:language>
  <cp:lastModifiedBy/>
  <dcterms:modified xsi:type="dcterms:W3CDTF">2026-10-13T03:19:30Z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